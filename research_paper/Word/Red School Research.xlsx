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a127c155295ab2/Documents/Grad School/6501-Capstone/fall-2025-group2/research_paper/Word/"/>
    </mc:Choice>
  </mc:AlternateContent>
  <xr:revisionPtr revIDLastSave="0" documentId="8_{76228E96-B9DA-46C4-BFBA-8816F4EB6CBE}" xr6:coauthVersionLast="47" xr6:coauthVersionMax="47" xr10:uidLastSave="{00000000-0000-0000-0000-000000000000}"/>
  <bookViews>
    <workbookView xWindow="-120" yWindow="-120" windowWidth="29040" windowHeight="15720" activeTab="1" xr2:uid="{EF50B549-69F7-4ECF-ADB1-1EA28FA6D364}"/>
  </bookViews>
  <sheets>
    <sheet name="Sheet5" sheetId="5" r:id="rId1"/>
    <sheet name="schools" sheetId="1" r:id="rId2"/>
    <sheet name="zip" sheetId="2" r:id="rId3"/>
  </sheets>
  <definedNames>
    <definedName name="_xlnm._FilterDatabase" localSheetId="1" hidden="1">schools!$A$1:$R$23</definedName>
  </definedNames>
  <calcPr calcId="19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1" l="1"/>
  <c r="N23" i="1" s="1"/>
  <c r="L22" i="1"/>
  <c r="O22" i="1" s="1"/>
  <c r="L21" i="1"/>
  <c r="Q21" i="1" s="1"/>
  <c r="L20" i="1"/>
  <c r="N20" i="1" s="1"/>
  <c r="L19" i="1"/>
  <c r="O19" i="1" s="1"/>
  <c r="L18" i="1"/>
  <c r="M18" i="1" s="1"/>
  <c r="L17" i="1"/>
  <c r="N17" i="1" s="1"/>
  <c r="L16" i="1"/>
  <c r="M16" i="1" s="1"/>
  <c r="L15" i="1"/>
  <c r="N15" i="1" s="1"/>
  <c r="L14" i="1"/>
  <c r="O14" i="1" s="1"/>
  <c r="L3" i="1"/>
  <c r="N3" i="1" s="1"/>
  <c r="L4" i="1"/>
  <c r="M4" i="1" s="1"/>
  <c r="L5" i="1"/>
  <c r="Q5" i="1" s="1"/>
  <c r="L6" i="1"/>
  <c r="M6" i="1" s="1"/>
  <c r="L7" i="1"/>
  <c r="N7" i="1" s="1"/>
  <c r="L8" i="1"/>
  <c r="N8" i="1" s="1"/>
  <c r="L9" i="1"/>
  <c r="Q9" i="1" s="1"/>
  <c r="L10" i="1"/>
  <c r="M10" i="1" s="1"/>
  <c r="L11" i="1"/>
  <c r="O11" i="1" s="1"/>
  <c r="L12" i="1"/>
  <c r="M12" i="1" s="1"/>
  <c r="L13" i="1"/>
  <c r="Q13" i="1" s="1"/>
  <c r="L2" i="1"/>
  <c r="N2" i="1" s="1"/>
  <c r="D8" i="2"/>
  <c r="D14" i="2"/>
  <c r="D16" i="2"/>
  <c r="D17" i="2"/>
  <c r="D18" i="2"/>
  <c r="D24" i="2"/>
  <c r="D26" i="2"/>
  <c r="D29" i="2"/>
  <c r="D30" i="2"/>
  <c r="O2" i="1" l="1"/>
  <c r="P6" i="1"/>
  <c r="Q12" i="1"/>
  <c r="Q4" i="1"/>
  <c r="P4" i="1"/>
  <c r="P21" i="1"/>
  <c r="Q2" i="1"/>
  <c r="N6" i="1"/>
  <c r="M2" i="1"/>
  <c r="O6" i="1"/>
  <c r="P2" i="1"/>
  <c r="P9" i="1"/>
  <c r="Q6" i="1"/>
  <c r="P12" i="1"/>
  <c r="O21" i="1"/>
  <c r="N10" i="1"/>
  <c r="N19" i="1"/>
  <c r="N21" i="1"/>
  <c r="P5" i="1"/>
  <c r="P13" i="1"/>
  <c r="O9" i="1"/>
  <c r="O5" i="1"/>
  <c r="Q17" i="1"/>
  <c r="Q20" i="1"/>
  <c r="N22" i="1"/>
  <c r="O13" i="1"/>
  <c r="P8" i="1"/>
  <c r="N5" i="1"/>
  <c r="P17" i="1"/>
  <c r="P20" i="1"/>
  <c r="M22" i="1"/>
  <c r="N13" i="1"/>
  <c r="M7" i="1"/>
  <c r="M5" i="1"/>
  <c r="O17" i="1"/>
  <c r="M20" i="1"/>
  <c r="M13" i="1"/>
  <c r="M17" i="1"/>
  <c r="O23" i="1"/>
  <c r="M23" i="1"/>
  <c r="Q23" i="1"/>
  <c r="P23" i="1"/>
  <c r="Q22" i="1"/>
  <c r="P22" i="1"/>
  <c r="M21" i="1"/>
  <c r="O20" i="1"/>
  <c r="M19" i="1"/>
  <c r="Q19" i="1"/>
  <c r="P19" i="1"/>
  <c r="Q18" i="1"/>
  <c r="P18" i="1"/>
  <c r="O18" i="1"/>
  <c r="N18" i="1"/>
  <c r="Q16" i="1"/>
  <c r="O16" i="1"/>
  <c r="P16" i="1"/>
  <c r="N16" i="1"/>
  <c r="O15" i="1"/>
  <c r="M15" i="1"/>
  <c r="Q15" i="1"/>
  <c r="P15" i="1"/>
  <c r="N14" i="1"/>
  <c r="M14" i="1"/>
  <c r="Q14" i="1"/>
  <c r="P14" i="1"/>
  <c r="D32" i="2"/>
  <c r="D31" i="2"/>
  <c r="D5" i="2"/>
  <c r="D28" i="2"/>
  <c r="D20" i="2"/>
  <c r="D12" i="2"/>
  <c r="D4" i="2"/>
  <c r="D2" i="2"/>
  <c r="D27" i="2"/>
  <c r="D19" i="2"/>
  <c r="D11" i="2"/>
  <c r="D3" i="2"/>
  <c r="D15" i="2"/>
  <c r="D13" i="2"/>
  <c r="D10" i="2"/>
  <c r="D23" i="2"/>
  <c r="D22" i="2"/>
  <c r="D21" i="2"/>
  <c r="D33" i="2"/>
  <c r="D25" i="2"/>
  <c r="D9" i="2"/>
  <c r="D7" i="2"/>
  <c r="D6" i="2"/>
  <c r="D34" i="2"/>
  <c r="M8" i="1"/>
  <c r="M11" i="1"/>
  <c r="Q7" i="1"/>
  <c r="M3" i="1"/>
  <c r="O12" i="1"/>
  <c r="Q10" i="1"/>
  <c r="N9" i="1"/>
  <c r="P7" i="1"/>
  <c r="O4" i="1"/>
  <c r="N11" i="1"/>
  <c r="N12" i="1"/>
  <c r="P10" i="1"/>
  <c r="M9" i="1"/>
  <c r="O7" i="1"/>
  <c r="N4" i="1"/>
  <c r="O10" i="1"/>
  <c r="Q8" i="1"/>
  <c r="Q11" i="1"/>
  <c r="Q3" i="1"/>
  <c r="P3" i="1"/>
  <c r="P11" i="1"/>
  <c r="O8" i="1"/>
  <c r="O3" i="1"/>
</calcChain>
</file>

<file path=xl/sharedStrings.xml><?xml version="1.0" encoding="utf-8"?>
<sst xmlns="http://schemas.openxmlformats.org/spreadsheetml/2006/main" count="120" uniqueCount="57">
  <si>
    <t>Island Creek Elementary</t>
  </si>
  <si>
    <t>Keene Mill Elementary</t>
  </si>
  <si>
    <t>Bonnie Brae Elementary</t>
  </si>
  <si>
    <t>Mount Eagle Elementary</t>
  </si>
  <si>
    <t>Westbriar Elementary</t>
  </si>
  <si>
    <t>School Name</t>
  </si>
  <si>
    <t>Annual Savings</t>
  </si>
  <si>
    <t>Herndon Hs</t>
  </si>
  <si>
    <t>Annandale High</t>
  </si>
  <si>
    <t>Lewis High</t>
  </si>
  <si>
    <t>Edison High</t>
  </si>
  <si>
    <t>West Potomac High</t>
  </si>
  <si>
    <t>Herdon Middle</t>
  </si>
  <si>
    <t>Key Middle</t>
  </si>
  <si>
    <t>Region</t>
  </si>
  <si>
    <t>Level</t>
  </si>
  <si>
    <t>Region 6</t>
  </si>
  <si>
    <t>Region 4</t>
  </si>
  <si>
    <t>Region 3</t>
  </si>
  <si>
    <t>Region 5</t>
  </si>
  <si>
    <t>Region 1</t>
  </si>
  <si>
    <t>ES</t>
  </si>
  <si>
    <t>HS</t>
  </si>
  <si>
    <t>MS</t>
  </si>
  <si>
    <t>Zipcode</t>
  </si>
  <si>
    <t>Rank</t>
  </si>
  <si>
    <t>ZIP Code</t>
  </si>
  <si>
    <t>USD</t>
  </si>
  <si>
    <t>Median Household Income</t>
  </si>
  <si>
    <t>Asian</t>
  </si>
  <si>
    <t>Black (Not Of Hispanic Origin)</t>
  </si>
  <si>
    <t>Hispanic Or Latino</t>
  </si>
  <si>
    <t>White (Not Of Hispanic Origin)</t>
  </si>
  <si>
    <t>Other</t>
  </si>
  <si>
    <t>Total</t>
  </si>
  <si>
    <t>Asian%</t>
  </si>
  <si>
    <t>Black (Not Of Hispanic Origin)%</t>
  </si>
  <si>
    <t>Hispanic Or Latino%</t>
  </si>
  <si>
    <t>White (Not Of Hispanic Origin)%</t>
  </si>
  <si>
    <t>Other%</t>
  </si>
  <si>
    <t>Color</t>
  </si>
  <si>
    <t>Red</t>
  </si>
  <si>
    <t>Freedom Hill Elementary</t>
  </si>
  <si>
    <t>Fairview Elementary</t>
  </si>
  <si>
    <t>Match</t>
  </si>
  <si>
    <t>West Springfield Elementary</t>
  </si>
  <si>
    <t>Lane Elementary</t>
  </si>
  <si>
    <t>Hayfield Elementary</t>
  </si>
  <si>
    <t>South Lakes High</t>
  </si>
  <si>
    <t>Jefferson High</t>
  </si>
  <si>
    <t>Hayfield Ss</t>
  </si>
  <si>
    <t>Hughes Middle</t>
  </si>
  <si>
    <t>Twain Middle</t>
  </si>
  <si>
    <t>Row Labels</t>
  </si>
  <si>
    <t>Grand Total</t>
  </si>
  <si>
    <t>Count of Region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</si>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</sst>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&quot;$&quot;#,##0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3"/>
      <color rgb="FF212529"/>
      <name val="Segoe UI"/>
      <family val="2"/>
    </font>
    <font>
      <sz val="13"/>
      <color rgb="FF212529"/>
      <name val="Segoe UI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DD0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DEE2E6"/>
      </top>
      <bottom style="thick">
        <color rgb="FFDEE2E6"/>
      </bottom>
      <diagonal/>
    </border>
    <border>
      <left/>
      <right/>
      <top style="medium">
        <color rgb="FFDEE2E6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vertical="top" wrapText="1"/>
    </xf>
    <xf numFmtId="0" fontId="4" fillId="2" borderId="2" xfId="1" applyFill="1" applyBorder="1" applyAlignment="1">
      <alignment vertical="top" wrapText="1"/>
    </xf>
    <xf numFmtId="3" fontId="3" fillId="2" borderId="2" xfId="0" applyNumberFormat="1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vertical="top" wrapText="1"/>
    </xf>
    <xf numFmtId="0" fontId="4" fillId="3" borderId="2" xfId="1" applyFill="1" applyBorder="1" applyAlignment="1">
      <alignment vertical="top" wrapText="1"/>
    </xf>
    <xf numFmtId="3" fontId="3" fillId="3" borderId="2" xfId="0" applyNumberFormat="1" applyFont="1" applyFill="1" applyBorder="1" applyAlignment="1">
      <alignment horizontal="center" vertical="top" wrapText="1"/>
    </xf>
    <xf numFmtId="0" fontId="1" fillId="4" borderId="0" xfId="0" applyFont="1" applyFill="1" applyAlignment="1">
      <alignment vertical="center"/>
    </xf>
    <xf numFmtId="4" fontId="0" fillId="4" borderId="0" xfId="0" applyNumberFormat="1" applyFill="1"/>
    <xf numFmtId="0" fontId="0" fillId="4" borderId="0" xfId="0" applyFill="1"/>
    <xf numFmtId="9" fontId="0" fillId="4" borderId="0" xfId="0" applyNumberFormat="1" applyFill="1"/>
    <xf numFmtId="0" fontId="1" fillId="5" borderId="0" xfId="0" applyFont="1" applyFill="1" applyAlignment="1">
      <alignment vertical="center"/>
    </xf>
    <xf numFmtId="4" fontId="0" fillId="5" borderId="0" xfId="0" applyNumberFormat="1" applyFill="1"/>
    <xf numFmtId="0" fontId="0" fillId="5" borderId="0" xfId="0" applyFill="1"/>
    <xf numFmtId="173" fontId="0" fillId="0" borderId="0" xfId="0" applyNumberFormat="1"/>
    <xf numFmtId="173" fontId="0" fillId="4" borderId="0" xfId="0" applyNumberFormat="1" applyFill="1"/>
    <xf numFmtId="173" fontId="0" fillId="5" borderId="0" xfId="0" applyNumberFormat="1" applyFill="1"/>
    <xf numFmtId="9" fontId="0" fillId="5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D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ystal Kao" refreshedDate="45973.723160300928" createdVersion="8" refreshedVersion="8" minRefreshableVersion="3" recordCount="22" xr:uid="{E487BF17-871D-4683-925E-2E46038A8C88}">
  <cacheSource type="worksheet">
    <worksheetSource ref="A1:S23" sheet="schools"/>
  </cacheSource>
  <cacheFields count="19">
    <cacheField name="School Name" numFmtId="0">
      <sharedItems/>
    </cacheField>
    <cacheField name="Annual Savings" numFmtId="0">
      <sharedItems containsSemiMixedTypes="0" containsString="0" containsNumber="1" minValue="-276287.51" maxValue="95390.44"/>
    </cacheField>
    <cacheField name="Region" numFmtId="0">
      <sharedItems count="5">
        <s v="Region 6"/>
        <s v="Region 4"/>
        <s v="Region 3"/>
        <s v="Region 5"/>
        <s v="Region 1"/>
      </sharedItems>
    </cacheField>
    <cacheField name="Level" numFmtId="0">
      <sharedItems/>
    </cacheField>
    <cacheField name="Zipcode" numFmtId="0">
      <sharedItems containsSemiMixedTypes="0" containsString="0" containsNumber="1" containsInteger="1" minValue="20170" maxValue="22332"/>
    </cacheField>
    <cacheField name="Median Household Income" numFmtId="173">
      <sharedItems containsMixedTypes="1" containsNumber="1" containsInteger="1" minValue="103822" maxValue="250001"/>
    </cacheField>
    <cacheField name="Asian" numFmtId="0">
      <sharedItems containsSemiMixedTypes="0" containsString="0" containsNumber="1" containsInteger="1" minValue="18" maxValue="1273"/>
    </cacheField>
    <cacheField name="Black (Not Of Hispanic Origin)" numFmtId="0">
      <sharedItems containsSemiMixedTypes="0" containsString="0" containsNumber="1" containsInteger="1" minValue="30" maxValue="625"/>
    </cacheField>
    <cacheField name="Hispanic Or Latino" numFmtId="0">
      <sharedItems containsSemiMixedTypes="0" containsString="0" containsNumber="1" containsInteger="1" minValue="77" maxValue="1148"/>
    </cacheField>
    <cacheField name="White (Not Of Hispanic Origin)" numFmtId="0">
      <sharedItems containsSemiMixedTypes="0" containsString="0" containsNumber="1" containsInteger="1" minValue="47" maxValue="964"/>
    </cacheField>
    <cacheField name="Other" numFmtId="0">
      <sharedItems containsSemiMixedTypes="0" containsString="0" containsNumber="1" containsInteger="1" minValue="10" maxValue="197"/>
    </cacheField>
    <cacheField name="Total" numFmtId="0">
      <sharedItems containsSemiMixedTypes="0" containsString="0" containsNumber="1" containsInteger="1" minValue="360" maxValue="2606"/>
    </cacheField>
    <cacheField name="Asian%" numFmtId="9">
      <sharedItems containsSemiMixedTypes="0" containsString="0" containsNumber="1" minValue="0.05" maxValue="0.60676835081029556"/>
    </cacheField>
    <cacheField name="Black (Not Of Hispanic Origin)%" numFmtId="9">
      <sharedItems containsSemiMixedTypes="0" containsString="0" containsNumber="1" minValue="3.9318479685452164E-2" maxValue="0.27740790057700843"/>
    </cacheField>
    <cacheField name="Hispanic Or Latino%" numFmtId="9">
      <sharedItems containsSemiMixedTypes="0" containsString="0" containsNumber="1" minValue="7.2926596758817921E-2" maxValue="0.68055555555555558"/>
    </cacheField>
    <cacheField name="White (Not Of Hispanic Origin)%" numFmtId="9">
      <sharedItems containsSemiMixedTypes="0" containsString="0" containsNumber="1" minValue="0.11035758323057954" maxValue="0.66841415465268672"/>
    </cacheField>
    <cacheField name="Other%" numFmtId="9">
      <sharedItems containsSemiMixedTypes="0" containsString="0" containsNumber="1" minValue="2.096177558569667E-2" maxValue="0.12446958981612447"/>
    </cacheField>
    <cacheField name="Match" numFmtId="0">
      <sharedItems containsSemiMixedTypes="0" containsString="0" containsNumber="1" containsInteger="1" minValue="1" maxValue="10"/>
    </cacheField>
    <cacheField name="Color" numFmtId="0">
      <sharedItems count="2">
        <s v="Red"/>
        <s v="Gree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Island Creek Elementary"/>
    <n v="-96970.09"/>
    <x v="0"/>
    <s v="ES"/>
    <n v="22315"/>
    <n v="156230"/>
    <n v="86"/>
    <n v="119"/>
    <n v="117"/>
    <n v="297"/>
    <n v="88"/>
    <n v="707"/>
    <n v="0.12164073550212164"/>
    <n v="0.16831683168316833"/>
    <n v="0.16548797736916548"/>
    <n v="0.4200848656294201"/>
    <n v="0.12446958981612447"/>
    <n v="4"/>
    <x v="0"/>
  </r>
  <r>
    <s v="Keene Mill Elementary"/>
    <n v="-15387.75"/>
    <x v="1"/>
    <s v="ES"/>
    <n v="22152"/>
    <n v="159557"/>
    <n v="154"/>
    <n v="113"/>
    <n v="171"/>
    <n v="311"/>
    <n v="76"/>
    <n v="825"/>
    <n v="0.18666666666666668"/>
    <n v="0.13696969696969696"/>
    <n v="0.20727272727272728"/>
    <n v="0.37696969696969695"/>
    <n v="9.2121212121212118E-2"/>
    <n v="3"/>
    <x v="0"/>
  </r>
  <r>
    <s v="Bonnie Brae Elementary"/>
    <n v="-10707.87"/>
    <x v="1"/>
    <s v="ES"/>
    <n v="22032"/>
    <n v="175913"/>
    <n v="112"/>
    <n v="75"/>
    <n v="125"/>
    <n v="396"/>
    <n v="82"/>
    <n v="790"/>
    <n v="0.14177215189873418"/>
    <n v="9.49367088607595E-2"/>
    <n v="0.15822784810126583"/>
    <n v="0.50126582278481013"/>
    <n v="0.10379746835443038"/>
    <n v="2"/>
    <x v="0"/>
  </r>
  <r>
    <s v="Mount Eagle Elementary"/>
    <n v="-3967.58"/>
    <x v="2"/>
    <s v="ES"/>
    <n v="22303"/>
    <n v="103822"/>
    <n v="18"/>
    <n v="40"/>
    <n v="245"/>
    <n v="47"/>
    <n v="10"/>
    <n v="360"/>
    <n v="0.05"/>
    <n v="0.1111111111111111"/>
    <n v="0.68055555555555558"/>
    <n v="0.13055555555555556"/>
    <n v="2.7777777777777776E-2"/>
    <n v="5"/>
    <x v="0"/>
  </r>
  <r>
    <s v="Westbriar Elementary"/>
    <n v="-3262.28"/>
    <x v="3"/>
    <s v="ES"/>
    <n v="22182"/>
    <n v="200038"/>
    <n v="325"/>
    <n v="41"/>
    <n v="77"/>
    <n v="335"/>
    <n v="64"/>
    <n v="842"/>
    <n v="0.38598574821852732"/>
    <n v="4.8693586698337295E-2"/>
    <n v="9.1448931116389548E-2"/>
    <n v="0.39786223277909738"/>
    <n v="7.6009501187648459E-2"/>
    <n v="1"/>
    <x v="0"/>
  </r>
  <r>
    <s v="Herndon Hs"/>
    <n v="-23463.74"/>
    <x v="4"/>
    <s v="HS"/>
    <n v="20170"/>
    <n v="157875"/>
    <n v="165"/>
    <n v="135"/>
    <n v="1148"/>
    <n v="629"/>
    <n v="104"/>
    <n v="2181"/>
    <n v="7.5653370013755161E-2"/>
    <n v="6.1898211829436035E-2"/>
    <n v="0.52636405318661161"/>
    <n v="0.28839981659789088"/>
    <n v="4.7684548372306283E-2"/>
    <n v="6"/>
    <x v="0"/>
  </r>
  <r>
    <s v="Annandale High"/>
    <n v="-32053.35"/>
    <x v="0"/>
    <s v="HS"/>
    <n v="22003"/>
    <n v="134109"/>
    <n v="382"/>
    <n v="266"/>
    <n v="1124"/>
    <n v="272"/>
    <n v="57"/>
    <n v="2101"/>
    <n v="0.18181818181818182"/>
    <n v="0.12660637791527843"/>
    <n v="0.53498334126606373"/>
    <n v="0.12946216087577345"/>
    <n v="2.7129938124702522E-2"/>
    <n v="7"/>
    <x v="0"/>
  </r>
  <r>
    <s v="Lewis High"/>
    <n v="-66730.210000000006"/>
    <x v="0"/>
    <s v="HS"/>
    <n v="22150"/>
    <n v="120406"/>
    <n v="325"/>
    <n v="159"/>
    <n v="925"/>
    <n v="179"/>
    <n v="34"/>
    <n v="1622"/>
    <n v="0.2003699136868064"/>
    <n v="9.8027127003699144E-2"/>
    <n v="0.57028360049321825"/>
    <n v="0.11035758323057954"/>
    <n v="2.096177558569667E-2"/>
    <n v="8"/>
    <x v="0"/>
  </r>
  <r>
    <s v="Edison High"/>
    <n v="-276287.51"/>
    <x v="2"/>
    <s v="HS"/>
    <n v="22310"/>
    <n v="160872"/>
    <n v="287"/>
    <n v="410"/>
    <n v="803"/>
    <n v="646"/>
    <n v="138"/>
    <n v="2284"/>
    <n v="0.12565674255691769"/>
    <n v="0.17950963222416813"/>
    <n v="0.35157618213660247"/>
    <n v="0.28283712784588444"/>
    <n v="6.0420315236427317E-2"/>
    <n v="8"/>
    <x v="0"/>
  </r>
  <r>
    <s v="West Potomac High"/>
    <n v="-262696.19"/>
    <x v="2"/>
    <s v="HS"/>
    <n v="22307"/>
    <n v="140559"/>
    <n v="151"/>
    <n v="416"/>
    <n v="1110"/>
    <n v="806"/>
    <n v="123"/>
    <n v="2606"/>
    <n v="5.7943207981580966E-2"/>
    <n v="0.15963161933998465"/>
    <n v="0.4259401381427475"/>
    <n v="0.30928626247122026"/>
    <n v="4.7198772064466613E-2"/>
    <n v="8"/>
    <x v="0"/>
  </r>
  <r>
    <s v="Herdon Middle"/>
    <n v="-27348.799999999999"/>
    <x v="4"/>
    <s v="MS"/>
    <n v="20170"/>
    <n v="157875"/>
    <n v="57"/>
    <n v="51"/>
    <n v="502"/>
    <n v="240"/>
    <n v="38"/>
    <n v="888"/>
    <n v="6.4189189189189186E-2"/>
    <n v="5.7432432432432436E-2"/>
    <n v="0.56531531531531531"/>
    <n v="0.27027027027027029"/>
    <n v="4.2792792792792793E-2"/>
    <n v="9"/>
    <x v="0"/>
  </r>
  <r>
    <s v="Key Middle"/>
    <n v="-1958.6"/>
    <x v="0"/>
    <s v="MS"/>
    <n v="22150"/>
    <n v="120406"/>
    <n v="118"/>
    <n v="47"/>
    <n v="403"/>
    <n v="98"/>
    <n v="25"/>
    <n v="691"/>
    <n v="0.170767004341534"/>
    <n v="6.8017366136034735E-2"/>
    <n v="0.58321273516642547"/>
    <n v="0.14182344428364688"/>
    <n v="3.6179450072358899E-2"/>
    <n v="10"/>
    <x v="0"/>
  </r>
  <r>
    <s v="Freedom Hill Elementary"/>
    <n v="71523.039999999994"/>
    <x v="3"/>
    <s v="ES"/>
    <n v="22182"/>
    <n v="200038"/>
    <n v="94"/>
    <n v="44"/>
    <n v="179"/>
    <n v="164"/>
    <n v="30"/>
    <n v="511"/>
    <n v="0.18395303326810175"/>
    <n v="8.6105675146771032E-2"/>
    <n v="0.35029354207436397"/>
    <n v="0.32093933463796476"/>
    <n v="5.8708414872798431E-2"/>
    <n v="1"/>
    <x v="1"/>
  </r>
  <r>
    <s v="Fairview Elementary"/>
    <n v="20960.29"/>
    <x v="1"/>
    <s v="ES"/>
    <n v="22039"/>
    <n v="250001"/>
    <n v="68"/>
    <n v="30"/>
    <n v="80"/>
    <n v="510"/>
    <n v="75"/>
    <n v="763"/>
    <n v="8.9121887287024901E-2"/>
    <n v="3.9318479685452164E-2"/>
    <n v="0.10484927916120576"/>
    <n v="0.66841415465268672"/>
    <n v="9.8296199213630406E-2"/>
    <n v="2"/>
    <x v="1"/>
  </r>
  <r>
    <s v="West Springfield Elementary"/>
    <n v="34629.06"/>
    <x v="1"/>
    <s v="ES"/>
    <n v="22152"/>
    <n v="159557"/>
    <n v="63"/>
    <n v="50"/>
    <n v="87"/>
    <n v="291"/>
    <n v="50"/>
    <n v="541"/>
    <n v="0.11645101663585952"/>
    <n v="9.2421441774491686E-2"/>
    <n v="0.16081330868761554"/>
    <n v="0.53789279112754163"/>
    <n v="9.2421441774491686E-2"/>
    <n v="3"/>
    <x v="1"/>
  </r>
  <r>
    <s v="Lane Elementary"/>
    <n v="40166.620000000003"/>
    <x v="0"/>
    <s v="ES"/>
    <n v="22315"/>
    <n v="156230"/>
    <n v="78"/>
    <n v="144"/>
    <n v="152"/>
    <n v="276"/>
    <n v="73"/>
    <n v="723"/>
    <n v="0.1078838174273859"/>
    <n v="0.19917012448132779"/>
    <n v="0.21023513139695713"/>
    <n v="0.38174273858921159"/>
    <n v="0.10096818810511757"/>
    <n v="4"/>
    <x v="1"/>
  </r>
  <r>
    <s v="Hayfield Elementary"/>
    <n v="60546.26"/>
    <x v="0"/>
    <s v="ES"/>
    <n v="22332"/>
    <e v="#N/A"/>
    <n v="54"/>
    <n v="90"/>
    <n v="107"/>
    <n v="290"/>
    <n v="73"/>
    <n v="614"/>
    <n v="8.7947882736156349E-2"/>
    <n v="0.1465798045602606"/>
    <n v="0.17426710097719869"/>
    <n v="0.47231270358306188"/>
    <n v="0.11889250814332247"/>
    <n v="5"/>
    <x v="1"/>
  </r>
  <r>
    <s v="South Lakes High"/>
    <n v="67706.63"/>
    <x v="4"/>
    <s v="HS"/>
    <n v="20191"/>
    <n v="141019"/>
    <n v="244"/>
    <n v="306"/>
    <n v="695"/>
    <n v="964"/>
    <n v="197"/>
    <n v="2406"/>
    <n v="0.10141313383208644"/>
    <n v="0.12718204488778054"/>
    <n v="0.2888611803823774"/>
    <n v="0.40066500415627598"/>
    <n v="8.1878636741479632E-2"/>
    <n v="6"/>
    <x v="1"/>
  </r>
  <r>
    <s v="Jefferson High"/>
    <n v="57662.78"/>
    <x v="0"/>
    <s v="HS"/>
    <n v="22312"/>
    <n v="105044"/>
    <n v="1273"/>
    <n v="115"/>
    <n v="153"/>
    <n v="435"/>
    <n v="122"/>
    <n v="2098"/>
    <n v="0.60676835081029556"/>
    <n v="5.4814108674928502E-2"/>
    <n v="7.2926596758817921E-2"/>
    <n v="0.20734032411820782"/>
    <n v="5.8150619637750235E-2"/>
    <n v="7"/>
    <x v="1"/>
  </r>
  <r>
    <s v="Hayfield Ss"/>
    <n v="56881.78"/>
    <x v="0"/>
    <s v="HS"/>
    <n v="22315"/>
    <n v="156230"/>
    <n v="254"/>
    <n v="625"/>
    <n v="496"/>
    <n v="685"/>
    <n v="193"/>
    <n v="2253"/>
    <n v="0.11273857079449623"/>
    <n v="0.27740790057700843"/>
    <n v="0.22015090989791389"/>
    <n v="0.30403905903240125"/>
    <n v="8.5663559698180208E-2"/>
    <n v="8"/>
    <x v="1"/>
  </r>
  <r>
    <s v="Hughes Middle"/>
    <n v="15912.78"/>
    <x v="4"/>
    <s v="MS"/>
    <n v="20191"/>
    <n v="141019"/>
    <n v="78"/>
    <n v="139"/>
    <n v="301"/>
    <n v="407"/>
    <n v="86"/>
    <n v="1011"/>
    <n v="7.71513353115727E-2"/>
    <n v="0.13748763600395647"/>
    <n v="0.29772502472799206"/>
    <n v="0.40257171117705243"/>
    <n v="8.5064292779426315E-2"/>
    <n v="9"/>
    <x v="1"/>
  </r>
  <r>
    <s v="Twain Middle"/>
    <n v="95390.44"/>
    <x v="2"/>
    <s v="MS"/>
    <n v="22310"/>
    <n v="160872"/>
    <n v="134"/>
    <n v="166"/>
    <n v="324"/>
    <n v="322"/>
    <n v="76"/>
    <n v="1022"/>
    <n v="0.13111545988258316"/>
    <n v="0.16242661448140899"/>
    <n v="0.31702544031311153"/>
    <n v="0.31506849315068491"/>
    <n v="7.4363992172211346E-2"/>
    <n v="1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96789C-2DBF-4114-A706-F3950DACE696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19">
    <pivotField showAll="0"/>
    <pivotField showAll="0"/>
    <pivotField axis="axisRow" dataField="1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numFmtId="9" showAll="0"/>
    <pivotField numFmtId="9" showAll="0"/>
    <pivotField numFmtId="9" showAll="0"/>
    <pivotField numFmtId="9" showAll="0"/>
    <pivotField showAll="0"/>
    <pivotField axis="axisPage" showAll="0">
      <items count="3">
        <item x="1"/>
        <item x="0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item="1" hier="-1"/>
  </pageFields>
  <dataFields count="1">
    <dataField name="Count of Regio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atacommons.org/place/zip/22310" TargetMode="External"/><Relationship Id="rId18" Type="http://schemas.openxmlformats.org/officeDocument/2006/relationships/hyperlink" Target="https://datacommons.org/place/zip/22102" TargetMode="External"/><Relationship Id="rId26" Type="http://schemas.openxmlformats.org/officeDocument/2006/relationships/hyperlink" Target="https://datacommons.org/place/zip/20121" TargetMode="External"/><Relationship Id="rId3" Type="http://schemas.openxmlformats.org/officeDocument/2006/relationships/hyperlink" Target="https://datacommons.org/place/zip/20124" TargetMode="External"/><Relationship Id="rId21" Type="http://schemas.openxmlformats.org/officeDocument/2006/relationships/hyperlink" Target="https://datacommons.org/place/zip/20191" TargetMode="External"/><Relationship Id="rId7" Type="http://schemas.openxmlformats.org/officeDocument/2006/relationships/hyperlink" Target="https://datacommons.org/place/zip/22182" TargetMode="External"/><Relationship Id="rId12" Type="http://schemas.openxmlformats.org/officeDocument/2006/relationships/hyperlink" Target="https://datacommons.org/place/zip/22015" TargetMode="External"/><Relationship Id="rId17" Type="http://schemas.openxmlformats.org/officeDocument/2006/relationships/hyperlink" Target="https://datacommons.org/place/zip/22315" TargetMode="External"/><Relationship Id="rId25" Type="http://schemas.openxmlformats.org/officeDocument/2006/relationships/hyperlink" Target="https://datacommons.org/place/zip/22003" TargetMode="External"/><Relationship Id="rId33" Type="http://schemas.openxmlformats.org/officeDocument/2006/relationships/hyperlink" Target="https://datacommons.org/place/zip/22041" TargetMode="External"/><Relationship Id="rId2" Type="http://schemas.openxmlformats.org/officeDocument/2006/relationships/hyperlink" Target="https://datacommons.org/place/zip/22027" TargetMode="External"/><Relationship Id="rId16" Type="http://schemas.openxmlformats.org/officeDocument/2006/relationships/hyperlink" Target="https://datacommons.org/place/zip/20170" TargetMode="External"/><Relationship Id="rId20" Type="http://schemas.openxmlformats.org/officeDocument/2006/relationships/hyperlink" Target="https://datacommons.org/place/zip/20151" TargetMode="External"/><Relationship Id="rId29" Type="http://schemas.openxmlformats.org/officeDocument/2006/relationships/hyperlink" Target="https://datacommons.org/place/zip/22303" TargetMode="External"/><Relationship Id="rId1" Type="http://schemas.openxmlformats.org/officeDocument/2006/relationships/hyperlink" Target="https://datacommons.org/place/zip/22039" TargetMode="External"/><Relationship Id="rId6" Type="http://schemas.openxmlformats.org/officeDocument/2006/relationships/hyperlink" Target="https://datacommons.org/place/zip/22308" TargetMode="External"/><Relationship Id="rId11" Type="http://schemas.openxmlformats.org/officeDocument/2006/relationships/hyperlink" Target="https://datacommons.org/place/zip/20171" TargetMode="External"/><Relationship Id="rId24" Type="http://schemas.openxmlformats.org/officeDocument/2006/relationships/hyperlink" Target="https://datacommons.org/place/zip/22033" TargetMode="External"/><Relationship Id="rId32" Type="http://schemas.openxmlformats.org/officeDocument/2006/relationships/hyperlink" Target="https://datacommons.org/place/zip/22306" TargetMode="External"/><Relationship Id="rId5" Type="http://schemas.openxmlformats.org/officeDocument/2006/relationships/hyperlink" Target="https://datacommons.org/place/zip/22181" TargetMode="External"/><Relationship Id="rId15" Type="http://schemas.openxmlformats.org/officeDocument/2006/relationships/hyperlink" Target="https://datacommons.org/place/zip/22152" TargetMode="External"/><Relationship Id="rId23" Type="http://schemas.openxmlformats.org/officeDocument/2006/relationships/hyperlink" Target="https://datacommons.org/place/zip/22307" TargetMode="External"/><Relationship Id="rId28" Type="http://schemas.openxmlformats.org/officeDocument/2006/relationships/hyperlink" Target="https://datacommons.org/place/zip/22150" TargetMode="External"/><Relationship Id="rId10" Type="http://schemas.openxmlformats.org/officeDocument/2006/relationships/hyperlink" Target="https://datacommons.org/place/zip/20194" TargetMode="External"/><Relationship Id="rId19" Type="http://schemas.openxmlformats.org/officeDocument/2006/relationships/hyperlink" Target="https://datacommons.org/place/zip/22043" TargetMode="External"/><Relationship Id="rId31" Type="http://schemas.openxmlformats.org/officeDocument/2006/relationships/hyperlink" Target="https://datacommons.org/place/zip/22309" TargetMode="External"/><Relationship Id="rId4" Type="http://schemas.openxmlformats.org/officeDocument/2006/relationships/hyperlink" Target="https://datacommons.org/place/zip/22124" TargetMode="External"/><Relationship Id="rId9" Type="http://schemas.openxmlformats.org/officeDocument/2006/relationships/hyperlink" Target="https://datacommons.org/place/zip/22153" TargetMode="External"/><Relationship Id="rId14" Type="http://schemas.openxmlformats.org/officeDocument/2006/relationships/hyperlink" Target="https://datacommons.org/place/zip/22151" TargetMode="External"/><Relationship Id="rId22" Type="http://schemas.openxmlformats.org/officeDocument/2006/relationships/hyperlink" Target="https://datacommons.org/place/zip/22079" TargetMode="External"/><Relationship Id="rId27" Type="http://schemas.openxmlformats.org/officeDocument/2006/relationships/hyperlink" Target="https://datacommons.org/place/zip/20190" TargetMode="External"/><Relationship Id="rId30" Type="http://schemas.openxmlformats.org/officeDocument/2006/relationships/hyperlink" Target="https://datacommons.org/place/zip/22060" TargetMode="External"/><Relationship Id="rId8" Type="http://schemas.openxmlformats.org/officeDocument/2006/relationships/hyperlink" Target="https://datacommons.org/place/zip/221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238B5-4615-45DF-A65D-F8CD7FBB5306}">
  <dimension ref="A1:B9"/>
  <sheetViews>
    <sheetView workbookViewId="0">
      <selection activeCell="B6" sqref="B6"/>
    </sheetView>
  </sheetViews>
  <sheetFormatPr defaultRowHeight="15" x14ac:dyDescent="0.25"/>
  <cols>
    <col min="1" max="1" width="13.42578125" bestFit="1" customWidth="1"/>
    <col min="2" max="2" width="15.7109375" bestFit="1" customWidth="1"/>
  </cols>
  <sheetData>
    <row r="1" spans="1:2" x14ac:dyDescent="0.25">
      <c r="A1" s="19" t="s">
        <v>40</v>
      </c>
      <c r="B1" t="s">
        <v>41</v>
      </c>
    </row>
    <row r="3" spans="1:2" x14ac:dyDescent="0.25">
      <c r="A3" s="19" t="s">
        <v>53</v>
      </c>
      <c r="B3" t="s">
        <v>55</v>
      </c>
    </row>
    <row r="4" spans="1:2" x14ac:dyDescent="0.25">
      <c r="A4" s="20" t="s">
        <v>20</v>
      </c>
      <c r="B4" s="21">
        <v>2</v>
      </c>
    </row>
    <row r="5" spans="1:2" x14ac:dyDescent="0.25">
      <c r="A5" s="20" t="s">
        <v>18</v>
      </c>
      <c r="B5" s="21">
        <v>3</v>
      </c>
    </row>
    <row r="6" spans="1:2" x14ac:dyDescent="0.25">
      <c r="A6" s="20" t="s">
        <v>17</v>
      </c>
      <c r="B6" s="21">
        <v>2</v>
      </c>
    </row>
    <row r="7" spans="1:2" x14ac:dyDescent="0.25">
      <c r="A7" s="20" t="s">
        <v>19</v>
      </c>
      <c r="B7" s="21">
        <v>1</v>
      </c>
    </row>
    <row r="8" spans="1:2" x14ac:dyDescent="0.25">
      <c r="A8" s="20" t="s">
        <v>16</v>
      </c>
      <c r="B8" s="21">
        <v>4</v>
      </c>
    </row>
    <row r="9" spans="1:2" x14ac:dyDescent="0.25">
      <c r="A9" s="20" t="s">
        <v>54</v>
      </c>
      <c r="B9" s="2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15C1E-B5C1-4E40-94B7-9C665101AF8E}">
  <dimension ref="A1:S23"/>
  <sheetViews>
    <sheetView tabSelected="1" workbookViewId="0">
      <selection activeCell="O13" sqref="O13"/>
    </sheetView>
  </sheetViews>
  <sheetFormatPr defaultRowHeight="15" x14ac:dyDescent="0.25"/>
  <cols>
    <col min="1" max="1" width="25.5703125" bestFit="1" customWidth="1"/>
    <col min="2" max="2" width="14.5703125" bestFit="1" customWidth="1"/>
    <col min="6" max="6" width="12.28515625" style="15" customWidth="1"/>
    <col min="7" max="7" width="6" bestFit="1" customWidth="1"/>
    <col min="8" max="8" width="28" bestFit="1" customWidth="1"/>
    <col min="9" max="9" width="17.5703125" bestFit="1" customWidth="1"/>
    <col min="10" max="10" width="28.140625" bestFit="1" customWidth="1"/>
    <col min="11" max="11" width="5.85546875" bestFit="1" customWidth="1"/>
  </cols>
  <sheetData>
    <row r="1" spans="1:19" x14ac:dyDescent="0.25">
      <c r="A1" t="s">
        <v>5</v>
      </c>
      <c r="B1" t="s">
        <v>6</v>
      </c>
      <c r="C1" t="s">
        <v>14</v>
      </c>
      <c r="D1" t="s">
        <v>15</v>
      </c>
      <c r="E1" t="s">
        <v>24</v>
      </c>
      <c r="F1" s="15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44</v>
      </c>
      <c r="S1" t="s">
        <v>40</v>
      </c>
    </row>
    <row r="2" spans="1:19" ht="15.75" x14ac:dyDescent="0.25">
      <c r="A2" s="8" t="s">
        <v>0</v>
      </c>
      <c r="B2" s="9">
        <v>-96970.09</v>
      </c>
      <c r="C2" s="10" t="s">
        <v>16</v>
      </c>
      <c r="D2" s="10" t="s">
        <v>21</v>
      </c>
      <c r="E2" s="10">
        <v>22315</v>
      </c>
      <c r="F2" s="16">
        <v>156230</v>
      </c>
      <c r="G2" s="10">
        <v>86</v>
      </c>
      <c r="H2" s="10">
        <v>119</v>
      </c>
      <c r="I2" s="10">
        <v>117</v>
      </c>
      <c r="J2" s="10">
        <v>297</v>
      </c>
      <c r="K2" s="10">
        <v>88</v>
      </c>
      <c r="L2" s="10">
        <f>SUM(G2:K2)</f>
        <v>707</v>
      </c>
      <c r="M2" s="11">
        <f>G2/$L2</f>
        <v>0.12164073550212164</v>
      </c>
      <c r="N2" s="11">
        <f t="shared" ref="N2:Q2" si="0">H2/$L2</f>
        <v>0.16831683168316833</v>
      </c>
      <c r="O2" s="11">
        <f t="shared" si="0"/>
        <v>0.16548797736916548</v>
      </c>
      <c r="P2" s="11">
        <f t="shared" si="0"/>
        <v>0.4200848656294201</v>
      </c>
      <c r="Q2" s="11">
        <f t="shared" si="0"/>
        <v>0.12446958981612447</v>
      </c>
      <c r="R2">
        <v>4</v>
      </c>
      <c r="S2" t="s">
        <v>41</v>
      </c>
    </row>
    <row r="3" spans="1:19" ht="15.75" x14ac:dyDescent="0.25">
      <c r="A3" s="8" t="s">
        <v>1</v>
      </c>
      <c r="B3" s="9">
        <v>-15387.75</v>
      </c>
      <c r="C3" s="10" t="s">
        <v>17</v>
      </c>
      <c r="D3" s="10" t="s">
        <v>21</v>
      </c>
      <c r="E3" s="10">
        <v>22152</v>
      </c>
      <c r="F3" s="16">
        <v>159557</v>
      </c>
      <c r="G3" s="10">
        <v>154</v>
      </c>
      <c r="H3" s="10">
        <v>113</v>
      </c>
      <c r="I3" s="10">
        <v>171</v>
      </c>
      <c r="J3" s="10">
        <v>311</v>
      </c>
      <c r="K3" s="10">
        <v>76</v>
      </c>
      <c r="L3" s="10">
        <f t="shared" ref="L3:L23" si="1">SUM(G3:K3)</f>
        <v>825</v>
      </c>
      <c r="M3" s="11">
        <f t="shared" ref="M3:M23" si="2">G3/$L3</f>
        <v>0.18666666666666668</v>
      </c>
      <c r="N3" s="11">
        <f t="shared" ref="N3:N23" si="3">H3/$L3</f>
        <v>0.13696969696969696</v>
      </c>
      <c r="O3" s="11">
        <f t="shared" ref="O3:O23" si="4">I3/$L3</f>
        <v>0.20727272727272728</v>
      </c>
      <c r="P3" s="11">
        <f t="shared" ref="P3:P23" si="5">J3/$L3</f>
        <v>0.37696969696969695</v>
      </c>
      <c r="Q3" s="11">
        <f t="shared" ref="Q3:Q23" si="6">K3/$L3</f>
        <v>9.2121212121212118E-2</v>
      </c>
      <c r="R3">
        <v>3</v>
      </c>
      <c r="S3" t="s">
        <v>41</v>
      </c>
    </row>
    <row r="4" spans="1:19" ht="15.75" x14ac:dyDescent="0.25">
      <c r="A4" s="8" t="s">
        <v>2</v>
      </c>
      <c r="B4" s="9">
        <v>-10707.87</v>
      </c>
      <c r="C4" s="10" t="s">
        <v>17</v>
      </c>
      <c r="D4" s="10" t="s">
        <v>21</v>
      </c>
      <c r="E4" s="10">
        <v>22032</v>
      </c>
      <c r="F4" s="16">
        <v>175913</v>
      </c>
      <c r="G4" s="10">
        <v>112</v>
      </c>
      <c r="H4" s="10">
        <v>75</v>
      </c>
      <c r="I4" s="10">
        <v>125</v>
      </c>
      <c r="J4" s="10">
        <v>396</v>
      </c>
      <c r="K4" s="10">
        <v>82</v>
      </c>
      <c r="L4" s="10">
        <f t="shared" si="1"/>
        <v>790</v>
      </c>
      <c r="M4" s="11">
        <f t="shared" si="2"/>
        <v>0.14177215189873418</v>
      </c>
      <c r="N4" s="11">
        <f t="shared" si="3"/>
        <v>9.49367088607595E-2</v>
      </c>
      <c r="O4" s="11">
        <f t="shared" si="4"/>
        <v>0.15822784810126583</v>
      </c>
      <c r="P4" s="11">
        <f t="shared" si="5"/>
        <v>0.50126582278481013</v>
      </c>
      <c r="Q4" s="11">
        <f t="shared" si="6"/>
        <v>0.10379746835443038</v>
      </c>
      <c r="R4">
        <v>2</v>
      </c>
      <c r="S4" t="s">
        <v>41</v>
      </c>
    </row>
    <row r="5" spans="1:19" ht="15.75" x14ac:dyDescent="0.25">
      <c r="A5" s="8" t="s">
        <v>3</v>
      </c>
      <c r="B5" s="9">
        <v>-3967.58</v>
      </c>
      <c r="C5" s="10" t="s">
        <v>18</v>
      </c>
      <c r="D5" s="10" t="s">
        <v>21</v>
      </c>
      <c r="E5" s="10">
        <v>22303</v>
      </c>
      <c r="F5" s="16">
        <v>103822</v>
      </c>
      <c r="G5" s="10">
        <v>18</v>
      </c>
      <c r="H5" s="10">
        <v>40</v>
      </c>
      <c r="I5" s="10">
        <v>245</v>
      </c>
      <c r="J5" s="10">
        <v>47</v>
      </c>
      <c r="K5" s="10">
        <v>10</v>
      </c>
      <c r="L5" s="10">
        <f t="shared" si="1"/>
        <v>360</v>
      </c>
      <c r="M5" s="11">
        <f t="shared" si="2"/>
        <v>0.05</v>
      </c>
      <c r="N5" s="11">
        <f t="shared" si="3"/>
        <v>0.1111111111111111</v>
      </c>
      <c r="O5" s="11">
        <f t="shared" si="4"/>
        <v>0.68055555555555558</v>
      </c>
      <c r="P5" s="11">
        <f t="shared" si="5"/>
        <v>0.13055555555555556</v>
      </c>
      <c r="Q5" s="11">
        <f t="shared" si="6"/>
        <v>2.7777777777777776E-2</v>
      </c>
      <c r="R5">
        <v>5</v>
      </c>
      <c r="S5" t="s">
        <v>41</v>
      </c>
    </row>
    <row r="6" spans="1:19" ht="15.75" x14ac:dyDescent="0.25">
      <c r="A6" s="8" t="s">
        <v>4</v>
      </c>
      <c r="B6" s="9">
        <v>-3262.28</v>
      </c>
      <c r="C6" s="10" t="s">
        <v>19</v>
      </c>
      <c r="D6" s="10" t="s">
        <v>21</v>
      </c>
      <c r="E6" s="10">
        <v>22182</v>
      </c>
      <c r="F6" s="16">
        <v>200038</v>
      </c>
      <c r="G6" s="10">
        <v>325</v>
      </c>
      <c r="H6" s="10">
        <v>41</v>
      </c>
      <c r="I6" s="10">
        <v>77</v>
      </c>
      <c r="J6" s="10">
        <v>335</v>
      </c>
      <c r="K6" s="10">
        <v>64</v>
      </c>
      <c r="L6" s="10">
        <f t="shared" si="1"/>
        <v>842</v>
      </c>
      <c r="M6" s="11">
        <f t="shared" si="2"/>
        <v>0.38598574821852732</v>
      </c>
      <c r="N6" s="11">
        <f t="shared" si="3"/>
        <v>4.8693586698337295E-2</v>
      </c>
      <c r="O6" s="11">
        <f t="shared" si="4"/>
        <v>9.1448931116389548E-2</v>
      </c>
      <c r="P6" s="11">
        <f t="shared" si="5"/>
        <v>0.39786223277909738</v>
      </c>
      <c r="Q6" s="11">
        <f t="shared" si="6"/>
        <v>7.6009501187648459E-2</v>
      </c>
      <c r="R6">
        <v>1</v>
      </c>
      <c r="S6" t="s">
        <v>41</v>
      </c>
    </row>
    <row r="7" spans="1:19" ht="15.75" x14ac:dyDescent="0.25">
      <c r="A7" s="8" t="s">
        <v>7</v>
      </c>
      <c r="B7" s="9">
        <v>-23463.74</v>
      </c>
      <c r="C7" s="10" t="s">
        <v>20</v>
      </c>
      <c r="D7" s="10" t="s">
        <v>22</v>
      </c>
      <c r="E7" s="10">
        <v>20170</v>
      </c>
      <c r="F7" s="16">
        <v>157875</v>
      </c>
      <c r="G7" s="10">
        <v>165</v>
      </c>
      <c r="H7" s="10">
        <v>135</v>
      </c>
      <c r="I7" s="10">
        <v>1148</v>
      </c>
      <c r="J7" s="10">
        <v>629</v>
      </c>
      <c r="K7" s="10">
        <v>104</v>
      </c>
      <c r="L7" s="10">
        <f t="shared" si="1"/>
        <v>2181</v>
      </c>
      <c r="M7" s="11">
        <f t="shared" si="2"/>
        <v>7.5653370013755161E-2</v>
      </c>
      <c r="N7" s="11">
        <f t="shared" si="3"/>
        <v>6.1898211829436035E-2</v>
      </c>
      <c r="O7" s="11">
        <f t="shared" si="4"/>
        <v>0.52636405318661161</v>
      </c>
      <c r="P7" s="11">
        <f t="shared" si="5"/>
        <v>0.28839981659789088</v>
      </c>
      <c r="Q7" s="11">
        <f t="shared" si="6"/>
        <v>4.7684548372306283E-2</v>
      </c>
      <c r="R7">
        <v>6</v>
      </c>
      <c r="S7" t="s">
        <v>41</v>
      </c>
    </row>
    <row r="8" spans="1:19" ht="15.75" x14ac:dyDescent="0.25">
      <c r="A8" s="8" t="s">
        <v>8</v>
      </c>
      <c r="B8" s="9">
        <v>-32053.35</v>
      </c>
      <c r="C8" s="10" t="s">
        <v>16</v>
      </c>
      <c r="D8" s="10" t="s">
        <v>22</v>
      </c>
      <c r="E8" s="10">
        <v>22003</v>
      </c>
      <c r="F8" s="16">
        <v>134109</v>
      </c>
      <c r="G8" s="10">
        <v>382</v>
      </c>
      <c r="H8" s="10">
        <v>266</v>
      </c>
      <c r="I8" s="10">
        <v>1124</v>
      </c>
      <c r="J8" s="10">
        <v>272</v>
      </c>
      <c r="K8" s="10">
        <v>57</v>
      </c>
      <c r="L8" s="10">
        <f t="shared" si="1"/>
        <v>2101</v>
      </c>
      <c r="M8" s="11">
        <f t="shared" si="2"/>
        <v>0.18181818181818182</v>
      </c>
      <c r="N8" s="11">
        <f t="shared" si="3"/>
        <v>0.12660637791527843</v>
      </c>
      <c r="O8" s="11">
        <f t="shared" si="4"/>
        <v>0.53498334126606373</v>
      </c>
      <c r="P8" s="11">
        <f t="shared" si="5"/>
        <v>0.12946216087577345</v>
      </c>
      <c r="Q8" s="11">
        <f t="shared" si="6"/>
        <v>2.7129938124702522E-2</v>
      </c>
      <c r="R8">
        <v>7</v>
      </c>
      <c r="S8" t="s">
        <v>41</v>
      </c>
    </row>
    <row r="9" spans="1:19" ht="15.75" x14ac:dyDescent="0.25">
      <c r="A9" s="8" t="s">
        <v>9</v>
      </c>
      <c r="B9" s="9">
        <v>-66730.210000000006</v>
      </c>
      <c r="C9" s="10" t="s">
        <v>16</v>
      </c>
      <c r="D9" s="10" t="s">
        <v>22</v>
      </c>
      <c r="E9" s="10">
        <v>22150</v>
      </c>
      <c r="F9" s="16">
        <v>120406</v>
      </c>
      <c r="G9" s="10">
        <v>325</v>
      </c>
      <c r="H9" s="10">
        <v>159</v>
      </c>
      <c r="I9" s="10">
        <v>925</v>
      </c>
      <c r="J9" s="10">
        <v>179</v>
      </c>
      <c r="K9" s="10">
        <v>34</v>
      </c>
      <c r="L9" s="10">
        <f t="shared" si="1"/>
        <v>1622</v>
      </c>
      <c r="M9" s="11">
        <f t="shared" si="2"/>
        <v>0.2003699136868064</v>
      </c>
      <c r="N9" s="11">
        <f t="shared" si="3"/>
        <v>9.8027127003699144E-2</v>
      </c>
      <c r="O9" s="11">
        <f t="shared" si="4"/>
        <v>0.57028360049321825</v>
      </c>
      <c r="P9" s="11">
        <f t="shared" si="5"/>
        <v>0.11035758323057954</v>
      </c>
      <c r="Q9" s="11">
        <f t="shared" si="6"/>
        <v>2.096177558569667E-2</v>
      </c>
      <c r="R9">
        <v>8</v>
      </c>
      <c r="S9" t="s">
        <v>41</v>
      </c>
    </row>
    <row r="10" spans="1:19" ht="15.75" x14ac:dyDescent="0.25">
      <c r="A10" s="8" t="s">
        <v>10</v>
      </c>
      <c r="B10" s="9">
        <v>-276287.51</v>
      </c>
      <c r="C10" s="10" t="s">
        <v>18</v>
      </c>
      <c r="D10" s="10" t="s">
        <v>22</v>
      </c>
      <c r="E10" s="10">
        <v>22310</v>
      </c>
      <c r="F10" s="16">
        <v>160872</v>
      </c>
      <c r="G10" s="10">
        <v>287</v>
      </c>
      <c r="H10" s="10">
        <v>410</v>
      </c>
      <c r="I10" s="10">
        <v>803</v>
      </c>
      <c r="J10" s="10">
        <v>646</v>
      </c>
      <c r="K10" s="10">
        <v>138</v>
      </c>
      <c r="L10" s="10">
        <f t="shared" si="1"/>
        <v>2284</v>
      </c>
      <c r="M10" s="11">
        <f t="shared" si="2"/>
        <v>0.12565674255691769</v>
      </c>
      <c r="N10" s="11">
        <f t="shared" si="3"/>
        <v>0.17950963222416813</v>
      </c>
      <c r="O10" s="11">
        <f t="shared" si="4"/>
        <v>0.35157618213660247</v>
      </c>
      <c r="P10" s="11">
        <f t="shared" si="5"/>
        <v>0.28283712784588444</v>
      </c>
      <c r="Q10" s="11">
        <f t="shared" si="6"/>
        <v>6.0420315236427317E-2</v>
      </c>
      <c r="R10">
        <v>8</v>
      </c>
      <c r="S10" t="s">
        <v>41</v>
      </c>
    </row>
    <row r="11" spans="1:19" ht="15.75" x14ac:dyDescent="0.25">
      <c r="A11" s="8" t="s">
        <v>11</v>
      </c>
      <c r="B11" s="9">
        <v>-262696.19</v>
      </c>
      <c r="C11" s="10" t="s">
        <v>18</v>
      </c>
      <c r="D11" s="10" t="s">
        <v>22</v>
      </c>
      <c r="E11" s="10">
        <v>22307</v>
      </c>
      <c r="F11" s="16">
        <v>140559</v>
      </c>
      <c r="G11" s="10">
        <v>151</v>
      </c>
      <c r="H11" s="10">
        <v>416</v>
      </c>
      <c r="I11" s="10">
        <v>1110</v>
      </c>
      <c r="J11" s="10">
        <v>806</v>
      </c>
      <c r="K11" s="10">
        <v>123</v>
      </c>
      <c r="L11" s="10">
        <f t="shared" si="1"/>
        <v>2606</v>
      </c>
      <c r="M11" s="11">
        <f t="shared" si="2"/>
        <v>5.7943207981580966E-2</v>
      </c>
      <c r="N11" s="11">
        <f t="shared" si="3"/>
        <v>0.15963161933998465</v>
      </c>
      <c r="O11" s="11">
        <f t="shared" si="4"/>
        <v>0.4259401381427475</v>
      </c>
      <c r="P11" s="11">
        <f t="shared" si="5"/>
        <v>0.30928626247122026</v>
      </c>
      <c r="Q11" s="11">
        <f t="shared" si="6"/>
        <v>4.7198772064466613E-2</v>
      </c>
      <c r="R11">
        <v>8</v>
      </c>
      <c r="S11" t="s">
        <v>41</v>
      </c>
    </row>
    <row r="12" spans="1:19" ht="15.75" x14ac:dyDescent="0.25">
      <c r="A12" s="8" t="s">
        <v>12</v>
      </c>
      <c r="B12" s="9">
        <v>-27348.799999999999</v>
      </c>
      <c r="C12" s="10" t="s">
        <v>20</v>
      </c>
      <c r="D12" s="10" t="s">
        <v>23</v>
      </c>
      <c r="E12" s="10">
        <v>20170</v>
      </c>
      <c r="F12" s="16">
        <v>157875</v>
      </c>
      <c r="G12" s="10">
        <v>57</v>
      </c>
      <c r="H12" s="10">
        <v>51</v>
      </c>
      <c r="I12" s="10">
        <v>502</v>
      </c>
      <c r="J12" s="10">
        <v>240</v>
      </c>
      <c r="K12" s="10">
        <v>38</v>
      </c>
      <c r="L12" s="10">
        <f t="shared" si="1"/>
        <v>888</v>
      </c>
      <c r="M12" s="11">
        <f t="shared" si="2"/>
        <v>6.4189189189189186E-2</v>
      </c>
      <c r="N12" s="11">
        <f t="shared" si="3"/>
        <v>5.7432432432432436E-2</v>
      </c>
      <c r="O12" s="11">
        <f t="shared" si="4"/>
        <v>0.56531531531531531</v>
      </c>
      <c r="P12" s="11">
        <f t="shared" si="5"/>
        <v>0.27027027027027029</v>
      </c>
      <c r="Q12" s="11">
        <f t="shared" si="6"/>
        <v>4.2792792792792793E-2</v>
      </c>
      <c r="R12">
        <v>9</v>
      </c>
      <c r="S12" t="s">
        <v>41</v>
      </c>
    </row>
    <row r="13" spans="1:19" ht="15.75" x14ac:dyDescent="0.25">
      <c r="A13" s="8" t="s">
        <v>13</v>
      </c>
      <c r="B13" s="9">
        <v>-1958.6</v>
      </c>
      <c r="C13" s="10" t="s">
        <v>16</v>
      </c>
      <c r="D13" s="10" t="s">
        <v>23</v>
      </c>
      <c r="E13" s="10">
        <v>22150</v>
      </c>
      <c r="F13" s="16">
        <v>120406</v>
      </c>
      <c r="G13" s="10">
        <v>118</v>
      </c>
      <c r="H13" s="10">
        <v>47</v>
      </c>
      <c r="I13" s="10">
        <v>403</v>
      </c>
      <c r="J13" s="10">
        <v>98</v>
      </c>
      <c r="K13" s="10">
        <v>25</v>
      </c>
      <c r="L13" s="10">
        <f t="shared" si="1"/>
        <v>691</v>
      </c>
      <c r="M13" s="11">
        <f t="shared" si="2"/>
        <v>0.170767004341534</v>
      </c>
      <c r="N13" s="11">
        <f t="shared" si="3"/>
        <v>6.8017366136034735E-2</v>
      </c>
      <c r="O13" s="11">
        <f t="shared" si="4"/>
        <v>0.58321273516642547</v>
      </c>
      <c r="P13" s="11">
        <f t="shared" si="5"/>
        <v>0.14182344428364688</v>
      </c>
      <c r="Q13" s="11">
        <f t="shared" si="6"/>
        <v>3.6179450072358899E-2</v>
      </c>
      <c r="R13">
        <v>10</v>
      </c>
      <c r="S13" t="s">
        <v>41</v>
      </c>
    </row>
    <row r="14" spans="1:19" ht="15.75" x14ac:dyDescent="0.25">
      <c r="A14" s="12" t="s">
        <v>42</v>
      </c>
      <c r="B14" s="13">
        <v>71523.039999999994</v>
      </c>
      <c r="C14" s="14" t="s">
        <v>19</v>
      </c>
      <c r="D14" s="14" t="s">
        <v>21</v>
      </c>
      <c r="E14" s="14">
        <v>22182</v>
      </c>
      <c r="F14" s="17">
        <v>200038</v>
      </c>
      <c r="G14" s="14">
        <v>94</v>
      </c>
      <c r="H14" s="14">
        <v>44</v>
      </c>
      <c r="I14" s="14">
        <v>179</v>
      </c>
      <c r="J14" s="14">
        <v>164</v>
      </c>
      <c r="K14" s="14">
        <v>30</v>
      </c>
      <c r="L14" s="14">
        <f t="shared" si="1"/>
        <v>511</v>
      </c>
      <c r="M14" s="18">
        <f t="shared" si="2"/>
        <v>0.18395303326810175</v>
      </c>
      <c r="N14" s="18">
        <f t="shared" si="3"/>
        <v>8.6105675146771032E-2</v>
      </c>
      <c r="O14" s="18">
        <f t="shared" si="4"/>
        <v>0.35029354207436397</v>
      </c>
      <c r="P14" s="18">
        <f t="shared" si="5"/>
        <v>0.32093933463796476</v>
      </c>
      <c r="Q14" s="18">
        <f t="shared" si="6"/>
        <v>5.8708414872798431E-2</v>
      </c>
      <c r="R14" s="14">
        <v>1</v>
      </c>
      <c r="S14" t="s">
        <v>56</v>
      </c>
    </row>
    <row r="15" spans="1:19" ht="15.75" x14ac:dyDescent="0.25">
      <c r="A15" s="12" t="s">
        <v>43</v>
      </c>
      <c r="B15" s="13">
        <v>20960.29</v>
      </c>
      <c r="C15" s="14" t="s">
        <v>17</v>
      </c>
      <c r="D15" s="14" t="s">
        <v>21</v>
      </c>
      <c r="E15" s="14">
        <v>22039</v>
      </c>
      <c r="F15" s="17">
        <v>250001</v>
      </c>
      <c r="G15" s="14">
        <v>68</v>
      </c>
      <c r="H15" s="14">
        <v>30</v>
      </c>
      <c r="I15" s="14">
        <v>80</v>
      </c>
      <c r="J15" s="14">
        <v>510</v>
      </c>
      <c r="K15" s="14">
        <v>75</v>
      </c>
      <c r="L15" s="14">
        <f t="shared" si="1"/>
        <v>763</v>
      </c>
      <c r="M15" s="18">
        <f t="shared" si="2"/>
        <v>8.9121887287024901E-2</v>
      </c>
      <c r="N15" s="18">
        <f t="shared" si="3"/>
        <v>3.9318479685452164E-2</v>
      </c>
      <c r="O15" s="18">
        <f t="shared" si="4"/>
        <v>0.10484927916120576</v>
      </c>
      <c r="P15" s="18">
        <f t="shared" si="5"/>
        <v>0.66841415465268672</v>
      </c>
      <c r="Q15" s="18">
        <f t="shared" si="6"/>
        <v>9.8296199213630406E-2</v>
      </c>
      <c r="R15" s="14">
        <v>2</v>
      </c>
      <c r="S15" t="s">
        <v>56</v>
      </c>
    </row>
    <row r="16" spans="1:19" ht="15.75" x14ac:dyDescent="0.25">
      <c r="A16" s="12" t="s">
        <v>45</v>
      </c>
      <c r="B16" s="13">
        <v>34629.06</v>
      </c>
      <c r="C16" s="14" t="s">
        <v>17</v>
      </c>
      <c r="D16" s="14" t="s">
        <v>21</v>
      </c>
      <c r="E16" s="14">
        <v>22152</v>
      </c>
      <c r="F16" s="17">
        <v>159557</v>
      </c>
      <c r="G16" s="14">
        <v>63</v>
      </c>
      <c r="H16" s="14">
        <v>50</v>
      </c>
      <c r="I16" s="14">
        <v>87</v>
      </c>
      <c r="J16" s="14">
        <v>291</v>
      </c>
      <c r="K16" s="14">
        <v>50</v>
      </c>
      <c r="L16" s="14">
        <f t="shared" si="1"/>
        <v>541</v>
      </c>
      <c r="M16" s="18">
        <f t="shared" si="2"/>
        <v>0.11645101663585952</v>
      </c>
      <c r="N16" s="18">
        <f t="shared" si="3"/>
        <v>9.2421441774491686E-2</v>
      </c>
      <c r="O16" s="18">
        <f t="shared" si="4"/>
        <v>0.16081330868761554</v>
      </c>
      <c r="P16" s="18">
        <f t="shared" si="5"/>
        <v>0.53789279112754163</v>
      </c>
      <c r="Q16" s="18">
        <f t="shared" si="6"/>
        <v>9.2421441774491686E-2</v>
      </c>
      <c r="R16" s="14">
        <v>3</v>
      </c>
      <c r="S16" t="s">
        <v>56</v>
      </c>
    </row>
    <row r="17" spans="1:19" ht="15.75" x14ac:dyDescent="0.25">
      <c r="A17" s="12" t="s">
        <v>46</v>
      </c>
      <c r="B17" s="13">
        <v>40166.620000000003</v>
      </c>
      <c r="C17" s="14" t="s">
        <v>16</v>
      </c>
      <c r="D17" s="14" t="s">
        <v>21</v>
      </c>
      <c r="E17" s="14">
        <v>22315</v>
      </c>
      <c r="F17" s="17">
        <v>156230</v>
      </c>
      <c r="G17" s="14">
        <v>78</v>
      </c>
      <c r="H17" s="14">
        <v>144</v>
      </c>
      <c r="I17" s="14">
        <v>152</v>
      </c>
      <c r="J17" s="14">
        <v>276</v>
      </c>
      <c r="K17" s="14">
        <v>73</v>
      </c>
      <c r="L17" s="14">
        <f t="shared" si="1"/>
        <v>723</v>
      </c>
      <c r="M17" s="18">
        <f t="shared" si="2"/>
        <v>0.1078838174273859</v>
      </c>
      <c r="N17" s="18">
        <f t="shared" si="3"/>
        <v>0.19917012448132779</v>
      </c>
      <c r="O17" s="18">
        <f t="shared" si="4"/>
        <v>0.21023513139695713</v>
      </c>
      <c r="P17" s="18">
        <f t="shared" si="5"/>
        <v>0.38174273858921159</v>
      </c>
      <c r="Q17" s="18">
        <f t="shared" si="6"/>
        <v>0.10096818810511757</v>
      </c>
      <c r="R17" s="14">
        <v>4</v>
      </c>
      <c r="S17" t="s">
        <v>56</v>
      </c>
    </row>
    <row r="18" spans="1:19" ht="15.75" x14ac:dyDescent="0.25">
      <c r="A18" s="12" t="s">
        <v>47</v>
      </c>
      <c r="B18" s="13">
        <v>60546.26</v>
      </c>
      <c r="C18" s="14" t="s">
        <v>16</v>
      </c>
      <c r="D18" s="14" t="s">
        <v>21</v>
      </c>
      <c r="E18" s="14">
        <v>22332</v>
      </c>
      <c r="F18" s="17" t="e">
        <v>#N/A</v>
      </c>
      <c r="G18" s="14">
        <v>54</v>
      </c>
      <c r="H18" s="14">
        <v>90</v>
      </c>
      <c r="I18" s="14">
        <v>107</v>
      </c>
      <c r="J18" s="14">
        <v>290</v>
      </c>
      <c r="K18" s="14">
        <v>73</v>
      </c>
      <c r="L18" s="14">
        <f t="shared" si="1"/>
        <v>614</v>
      </c>
      <c r="M18" s="18">
        <f t="shared" si="2"/>
        <v>8.7947882736156349E-2</v>
      </c>
      <c r="N18" s="18">
        <f t="shared" si="3"/>
        <v>0.1465798045602606</v>
      </c>
      <c r="O18" s="18">
        <f t="shared" si="4"/>
        <v>0.17426710097719869</v>
      </c>
      <c r="P18" s="18">
        <f t="shared" si="5"/>
        <v>0.47231270358306188</v>
      </c>
      <c r="Q18" s="18">
        <f t="shared" si="6"/>
        <v>0.11889250814332247</v>
      </c>
      <c r="R18" s="14">
        <v>5</v>
      </c>
      <c r="S18" t="s">
        <v>56</v>
      </c>
    </row>
    <row r="19" spans="1:19" ht="15.75" x14ac:dyDescent="0.25">
      <c r="A19" s="12" t="s">
        <v>48</v>
      </c>
      <c r="B19" s="14">
        <v>67706.63</v>
      </c>
      <c r="C19" s="14" t="s">
        <v>20</v>
      </c>
      <c r="D19" s="14" t="s">
        <v>22</v>
      </c>
      <c r="E19" s="14">
        <v>20191</v>
      </c>
      <c r="F19" s="17">
        <v>141019</v>
      </c>
      <c r="G19" s="14">
        <v>244</v>
      </c>
      <c r="H19" s="14">
        <v>306</v>
      </c>
      <c r="I19" s="14">
        <v>695</v>
      </c>
      <c r="J19" s="14">
        <v>964</v>
      </c>
      <c r="K19" s="14">
        <v>197</v>
      </c>
      <c r="L19" s="14">
        <f t="shared" si="1"/>
        <v>2406</v>
      </c>
      <c r="M19" s="18">
        <f t="shared" si="2"/>
        <v>0.10141313383208644</v>
      </c>
      <c r="N19" s="18">
        <f t="shared" si="3"/>
        <v>0.12718204488778054</v>
      </c>
      <c r="O19" s="18">
        <f t="shared" si="4"/>
        <v>0.2888611803823774</v>
      </c>
      <c r="P19" s="18">
        <f t="shared" si="5"/>
        <v>0.40066500415627598</v>
      </c>
      <c r="Q19" s="18">
        <f t="shared" si="6"/>
        <v>8.1878636741479632E-2</v>
      </c>
      <c r="R19" s="14">
        <v>6</v>
      </c>
      <c r="S19" t="s">
        <v>56</v>
      </c>
    </row>
    <row r="20" spans="1:19" ht="15.75" x14ac:dyDescent="0.25">
      <c r="A20" s="12" t="s">
        <v>49</v>
      </c>
      <c r="B20" s="14">
        <v>57662.78</v>
      </c>
      <c r="C20" s="14" t="s">
        <v>16</v>
      </c>
      <c r="D20" s="14" t="s">
        <v>22</v>
      </c>
      <c r="E20" s="14">
        <v>22312</v>
      </c>
      <c r="F20" s="17">
        <v>105044</v>
      </c>
      <c r="G20" s="14">
        <v>1273</v>
      </c>
      <c r="H20" s="14">
        <v>115</v>
      </c>
      <c r="I20" s="14">
        <v>153</v>
      </c>
      <c r="J20" s="14">
        <v>435</v>
      </c>
      <c r="K20" s="14">
        <v>122</v>
      </c>
      <c r="L20" s="14">
        <f t="shared" si="1"/>
        <v>2098</v>
      </c>
      <c r="M20" s="18">
        <f t="shared" si="2"/>
        <v>0.60676835081029556</v>
      </c>
      <c r="N20" s="18">
        <f t="shared" si="3"/>
        <v>5.4814108674928502E-2</v>
      </c>
      <c r="O20" s="18">
        <f t="shared" si="4"/>
        <v>7.2926596758817921E-2</v>
      </c>
      <c r="P20" s="18">
        <f t="shared" si="5"/>
        <v>0.20734032411820782</v>
      </c>
      <c r="Q20" s="18">
        <f t="shared" si="6"/>
        <v>5.8150619637750235E-2</v>
      </c>
      <c r="R20" s="14">
        <v>7</v>
      </c>
      <c r="S20" t="s">
        <v>56</v>
      </c>
    </row>
    <row r="21" spans="1:19" ht="15.75" x14ac:dyDescent="0.25">
      <c r="A21" s="12" t="s">
        <v>50</v>
      </c>
      <c r="B21" s="14">
        <v>56881.78</v>
      </c>
      <c r="C21" s="14" t="s">
        <v>16</v>
      </c>
      <c r="D21" s="14" t="s">
        <v>22</v>
      </c>
      <c r="E21" s="14">
        <v>22315</v>
      </c>
      <c r="F21" s="17">
        <v>156230</v>
      </c>
      <c r="G21" s="14">
        <v>254</v>
      </c>
      <c r="H21" s="14">
        <v>625</v>
      </c>
      <c r="I21" s="14">
        <v>496</v>
      </c>
      <c r="J21" s="14">
        <v>685</v>
      </c>
      <c r="K21" s="14">
        <v>193</v>
      </c>
      <c r="L21" s="14">
        <f t="shared" si="1"/>
        <v>2253</v>
      </c>
      <c r="M21" s="18">
        <f t="shared" si="2"/>
        <v>0.11273857079449623</v>
      </c>
      <c r="N21" s="18">
        <f t="shared" si="3"/>
        <v>0.27740790057700843</v>
      </c>
      <c r="O21" s="18">
        <f t="shared" si="4"/>
        <v>0.22015090989791389</v>
      </c>
      <c r="P21" s="18">
        <f t="shared" si="5"/>
        <v>0.30403905903240125</v>
      </c>
      <c r="Q21" s="18">
        <f t="shared" si="6"/>
        <v>8.5663559698180208E-2</v>
      </c>
      <c r="R21" s="14">
        <v>8</v>
      </c>
      <c r="S21" t="s">
        <v>56</v>
      </c>
    </row>
    <row r="22" spans="1:19" ht="15.75" x14ac:dyDescent="0.25">
      <c r="A22" s="12" t="s">
        <v>51</v>
      </c>
      <c r="B22" s="14">
        <v>15912.78</v>
      </c>
      <c r="C22" s="14" t="s">
        <v>20</v>
      </c>
      <c r="D22" s="14" t="s">
        <v>23</v>
      </c>
      <c r="E22" s="14">
        <v>20191</v>
      </c>
      <c r="F22" s="17">
        <v>141019</v>
      </c>
      <c r="G22" s="14">
        <v>78</v>
      </c>
      <c r="H22" s="14">
        <v>139</v>
      </c>
      <c r="I22" s="14">
        <v>301</v>
      </c>
      <c r="J22" s="14">
        <v>407</v>
      </c>
      <c r="K22" s="14">
        <v>86</v>
      </c>
      <c r="L22" s="14">
        <f t="shared" si="1"/>
        <v>1011</v>
      </c>
      <c r="M22" s="18">
        <f t="shared" si="2"/>
        <v>7.71513353115727E-2</v>
      </c>
      <c r="N22" s="18">
        <f t="shared" si="3"/>
        <v>0.13748763600395647</v>
      </c>
      <c r="O22" s="18">
        <f t="shared" si="4"/>
        <v>0.29772502472799206</v>
      </c>
      <c r="P22" s="18">
        <f t="shared" si="5"/>
        <v>0.40257171117705243</v>
      </c>
      <c r="Q22" s="18">
        <f t="shared" si="6"/>
        <v>8.5064292779426315E-2</v>
      </c>
      <c r="R22" s="14">
        <v>9</v>
      </c>
      <c r="S22" t="s">
        <v>56</v>
      </c>
    </row>
    <row r="23" spans="1:19" ht="15.75" x14ac:dyDescent="0.25">
      <c r="A23" s="12" t="s">
        <v>52</v>
      </c>
      <c r="B23" s="14">
        <v>95390.44</v>
      </c>
      <c r="C23" s="14" t="s">
        <v>18</v>
      </c>
      <c r="D23" s="14" t="s">
        <v>23</v>
      </c>
      <c r="E23" s="14">
        <v>22310</v>
      </c>
      <c r="F23" s="17">
        <v>160872</v>
      </c>
      <c r="G23" s="14">
        <v>134</v>
      </c>
      <c r="H23" s="14">
        <v>166</v>
      </c>
      <c r="I23" s="14">
        <v>324</v>
      </c>
      <c r="J23" s="14">
        <v>322</v>
      </c>
      <c r="K23" s="14">
        <v>76</v>
      </c>
      <c r="L23" s="14">
        <f t="shared" si="1"/>
        <v>1022</v>
      </c>
      <c r="M23" s="18">
        <f t="shared" si="2"/>
        <v>0.13111545988258316</v>
      </c>
      <c r="N23" s="18">
        <f t="shared" si="3"/>
        <v>0.16242661448140899</v>
      </c>
      <c r="O23" s="18">
        <f t="shared" si="4"/>
        <v>0.31702544031311153</v>
      </c>
      <c r="P23" s="18">
        <f t="shared" si="5"/>
        <v>0.31506849315068491</v>
      </c>
      <c r="Q23" s="18">
        <f t="shared" si="6"/>
        <v>7.4363992172211346E-2</v>
      </c>
      <c r="R23" s="14">
        <v>10</v>
      </c>
      <c r="S23" t="s">
        <v>56</v>
      </c>
    </row>
  </sheetData>
  <autoFilter ref="A1:R23" xr:uid="{47515C1E-B5C1-4E40-94B7-9C665101AF8E}"/>
  <conditionalFormatting sqref="M2:Q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8E869-C81D-4EAE-A116-640DCCA1AF6C}">
  <dimension ref="A1:D34"/>
  <sheetViews>
    <sheetView workbookViewId="0">
      <selection activeCell="D2" sqref="D2:D34"/>
    </sheetView>
  </sheetViews>
  <sheetFormatPr defaultRowHeight="15" x14ac:dyDescent="0.25"/>
  <cols>
    <col min="3" max="3" width="9.5703125" bestFit="1" customWidth="1"/>
  </cols>
  <sheetData>
    <row r="1" spans="1:4" ht="38.25" thickBot="1" x14ac:dyDescent="0.4">
      <c r="A1" s="1" t="s">
        <v>25</v>
      </c>
      <c r="B1" s="1" t="s">
        <v>26</v>
      </c>
      <c r="C1" s="1" t="s">
        <v>27</v>
      </c>
    </row>
    <row r="2" spans="1:4" ht="20.25" thickTop="1" thickBot="1" x14ac:dyDescent="0.3">
      <c r="A2" s="2">
        <v>1</v>
      </c>
      <c r="B2" s="3">
        <v>22039</v>
      </c>
      <c r="C2" s="4">
        <v>250001</v>
      </c>
      <c r="D2">
        <f>VLOOKUP(B2,schools!E:E,1,FALSE)</f>
        <v>22039</v>
      </c>
    </row>
    <row r="3" spans="1:4" ht="19.5" thickBot="1" x14ac:dyDescent="0.3">
      <c r="A3" s="2">
        <v>2</v>
      </c>
      <c r="B3" s="3">
        <v>22027</v>
      </c>
      <c r="C3" s="4">
        <v>250001</v>
      </c>
      <c r="D3" t="e">
        <f>VLOOKUP(B3,schools!E:E,1,FALSE)</f>
        <v>#N/A</v>
      </c>
    </row>
    <row r="4" spans="1:4" ht="19.5" thickBot="1" x14ac:dyDescent="0.3">
      <c r="A4" s="2">
        <v>3</v>
      </c>
      <c r="B4" s="3">
        <v>20124</v>
      </c>
      <c r="C4" s="4">
        <v>218942</v>
      </c>
      <c r="D4" t="e">
        <f>VLOOKUP(B4,schools!E:E,1,FALSE)</f>
        <v>#N/A</v>
      </c>
    </row>
    <row r="5" spans="1:4" ht="19.5" thickBot="1" x14ac:dyDescent="0.3">
      <c r="A5" s="2">
        <v>4</v>
      </c>
      <c r="B5" s="3">
        <v>22124</v>
      </c>
      <c r="C5" s="4">
        <v>216712</v>
      </c>
      <c r="D5" t="e">
        <f>VLOOKUP(B5,schools!E:E,1,FALSE)</f>
        <v>#N/A</v>
      </c>
    </row>
    <row r="6" spans="1:4" ht="19.5" thickBot="1" x14ac:dyDescent="0.3">
      <c r="A6" s="2">
        <v>5</v>
      </c>
      <c r="B6" s="3">
        <v>22181</v>
      </c>
      <c r="C6" s="4">
        <v>212156</v>
      </c>
      <c r="D6" t="e">
        <f>VLOOKUP(B6,schools!E:E,1,FALSE)</f>
        <v>#N/A</v>
      </c>
    </row>
    <row r="7" spans="1:4" ht="19.5" thickBot="1" x14ac:dyDescent="0.3">
      <c r="A7" s="2">
        <v>6</v>
      </c>
      <c r="B7" s="3">
        <v>22308</v>
      </c>
      <c r="C7" s="4">
        <v>204177</v>
      </c>
      <c r="D7" t="e">
        <f>VLOOKUP(B7,schools!E:E,1,FALSE)</f>
        <v>#N/A</v>
      </c>
    </row>
    <row r="8" spans="1:4" ht="19.5" thickBot="1" x14ac:dyDescent="0.3">
      <c r="A8" s="2">
        <v>7</v>
      </c>
      <c r="B8" s="3">
        <v>22182</v>
      </c>
      <c r="C8" s="4">
        <v>200038</v>
      </c>
      <c r="D8">
        <f>VLOOKUP(B8,schools!E:E,1,FALSE)</f>
        <v>22182</v>
      </c>
    </row>
    <row r="9" spans="1:4" ht="19.5" thickBot="1" x14ac:dyDescent="0.3">
      <c r="A9" s="2">
        <v>8</v>
      </c>
      <c r="B9" s="3">
        <v>22180</v>
      </c>
      <c r="C9" s="4">
        <v>181467</v>
      </c>
      <c r="D9" t="e">
        <f>VLOOKUP(B9,schools!E:E,1,FALSE)</f>
        <v>#N/A</v>
      </c>
    </row>
    <row r="10" spans="1:4" ht="19.5" thickBot="1" x14ac:dyDescent="0.3">
      <c r="A10" s="2">
        <v>9</v>
      </c>
      <c r="B10" s="3">
        <v>22153</v>
      </c>
      <c r="C10" s="4">
        <v>169638</v>
      </c>
      <c r="D10" t="e">
        <f>VLOOKUP(B10,schools!E:E,1,FALSE)</f>
        <v>#N/A</v>
      </c>
    </row>
    <row r="11" spans="1:4" ht="19.5" thickBot="1" x14ac:dyDescent="0.3">
      <c r="A11" s="2">
        <v>10</v>
      </c>
      <c r="B11" s="3">
        <v>20194</v>
      </c>
      <c r="C11" s="4">
        <v>166423</v>
      </c>
      <c r="D11" t="e">
        <f>VLOOKUP(B11,schools!E:E,1,FALSE)</f>
        <v>#N/A</v>
      </c>
    </row>
    <row r="12" spans="1:4" ht="19.5" thickBot="1" x14ac:dyDescent="0.3">
      <c r="A12" s="2">
        <v>11</v>
      </c>
      <c r="B12" s="3">
        <v>20171</v>
      </c>
      <c r="C12" s="4">
        <v>166154</v>
      </c>
      <c r="D12" t="e">
        <f>VLOOKUP(B12,schools!E:E,1,FALSE)</f>
        <v>#N/A</v>
      </c>
    </row>
    <row r="13" spans="1:4" ht="19.5" thickBot="1" x14ac:dyDescent="0.3">
      <c r="A13" s="2">
        <v>12</v>
      </c>
      <c r="B13" s="3">
        <v>22015</v>
      </c>
      <c r="C13" s="4">
        <v>166016</v>
      </c>
      <c r="D13" t="e">
        <f>VLOOKUP(B13,schools!E:E,1,FALSE)</f>
        <v>#N/A</v>
      </c>
    </row>
    <row r="14" spans="1:4" ht="19.5" thickBot="1" x14ac:dyDescent="0.3">
      <c r="A14" s="2">
        <v>13</v>
      </c>
      <c r="B14" s="3">
        <v>22310</v>
      </c>
      <c r="C14" s="4">
        <v>160872</v>
      </c>
      <c r="D14">
        <f>VLOOKUP(B14,schools!E:E,1,FALSE)</f>
        <v>22310</v>
      </c>
    </row>
    <row r="15" spans="1:4" ht="19.5" thickBot="1" x14ac:dyDescent="0.3">
      <c r="A15" s="2">
        <v>14</v>
      </c>
      <c r="B15" s="3">
        <v>22151</v>
      </c>
      <c r="C15" s="4">
        <v>160187</v>
      </c>
      <c r="D15" t="e">
        <f>VLOOKUP(B15,schools!E:E,1,FALSE)</f>
        <v>#N/A</v>
      </c>
    </row>
    <row r="16" spans="1:4" ht="19.5" thickBot="1" x14ac:dyDescent="0.3">
      <c r="A16" s="2">
        <v>15</v>
      </c>
      <c r="B16" s="3">
        <v>22152</v>
      </c>
      <c r="C16" s="4">
        <v>159557</v>
      </c>
      <c r="D16">
        <f>VLOOKUP(B16,schools!E:E,1,FALSE)</f>
        <v>22152</v>
      </c>
    </row>
    <row r="17" spans="1:4" ht="19.5" thickBot="1" x14ac:dyDescent="0.3">
      <c r="A17" s="2">
        <v>16</v>
      </c>
      <c r="B17" s="3">
        <v>20170</v>
      </c>
      <c r="C17" s="4">
        <v>157875</v>
      </c>
      <c r="D17">
        <f>VLOOKUP(B17,schools!E:E,1,FALSE)</f>
        <v>20170</v>
      </c>
    </row>
    <row r="18" spans="1:4" ht="19.5" thickBot="1" x14ac:dyDescent="0.3">
      <c r="A18" s="2">
        <v>17</v>
      </c>
      <c r="B18" s="3">
        <v>22315</v>
      </c>
      <c r="C18" s="4">
        <v>156230</v>
      </c>
      <c r="D18">
        <f>VLOOKUP(B18,schools!E:E,1,FALSE)</f>
        <v>22315</v>
      </c>
    </row>
    <row r="19" spans="1:4" ht="19.5" thickBot="1" x14ac:dyDescent="0.3">
      <c r="A19" s="2">
        <v>18</v>
      </c>
      <c r="B19" s="3">
        <v>22102</v>
      </c>
      <c r="C19" s="4">
        <v>153816</v>
      </c>
      <c r="D19" t="e">
        <f>VLOOKUP(B19,schools!E:E,1,FALSE)</f>
        <v>#N/A</v>
      </c>
    </row>
    <row r="20" spans="1:4" ht="19.5" thickBot="1" x14ac:dyDescent="0.3">
      <c r="A20" s="2">
        <v>19</v>
      </c>
      <c r="B20" s="3">
        <v>22043</v>
      </c>
      <c r="C20" s="4">
        <v>143836</v>
      </c>
      <c r="D20" t="e">
        <f>VLOOKUP(B20,schools!E:E,1,FALSE)</f>
        <v>#N/A</v>
      </c>
    </row>
    <row r="21" spans="1:4" ht="19.5" thickBot="1" x14ac:dyDescent="0.3">
      <c r="A21" s="2">
        <v>20</v>
      </c>
      <c r="B21" s="3">
        <v>20151</v>
      </c>
      <c r="C21" s="4">
        <v>143422</v>
      </c>
      <c r="D21" t="e">
        <f>VLOOKUP(B21,schools!E:E,1,FALSE)</f>
        <v>#N/A</v>
      </c>
    </row>
    <row r="22" spans="1:4" ht="19.5" thickBot="1" x14ac:dyDescent="0.3">
      <c r="A22" s="2">
        <v>21</v>
      </c>
      <c r="B22" s="3">
        <v>20191</v>
      </c>
      <c r="C22" s="4">
        <v>141019</v>
      </c>
      <c r="D22">
        <f>VLOOKUP(B22,schools!E:E,1,FALSE)</f>
        <v>20191</v>
      </c>
    </row>
    <row r="23" spans="1:4" ht="19.5" thickBot="1" x14ac:dyDescent="0.3">
      <c r="A23" s="2">
        <v>22</v>
      </c>
      <c r="B23" s="3">
        <v>22079</v>
      </c>
      <c r="C23" s="4">
        <v>140817</v>
      </c>
      <c r="D23" t="e">
        <f>VLOOKUP(B23,schools!E:E,1,FALSE)</f>
        <v>#N/A</v>
      </c>
    </row>
    <row r="24" spans="1:4" ht="19.5" thickBot="1" x14ac:dyDescent="0.3">
      <c r="A24" s="2">
        <v>23</v>
      </c>
      <c r="B24" s="3">
        <v>22307</v>
      </c>
      <c r="C24" s="4">
        <v>140559</v>
      </c>
      <c r="D24">
        <f>VLOOKUP(B24,schools!E:E,1,FALSE)</f>
        <v>22307</v>
      </c>
    </row>
    <row r="25" spans="1:4" ht="19.5" thickBot="1" x14ac:dyDescent="0.3">
      <c r="A25" s="2">
        <v>24</v>
      </c>
      <c r="B25" s="3">
        <v>22033</v>
      </c>
      <c r="C25" s="4">
        <v>134532</v>
      </c>
      <c r="D25" t="e">
        <f>VLOOKUP(B25,schools!E:E,1,FALSE)</f>
        <v>#N/A</v>
      </c>
    </row>
    <row r="26" spans="1:4" ht="19.5" thickBot="1" x14ac:dyDescent="0.3">
      <c r="A26" s="2">
        <v>25</v>
      </c>
      <c r="B26" s="3">
        <v>22003</v>
      </c>
      <c r="C26" s="4">
        <v>134109</v>
      </c>
      <c r="D26">
        <f>VLOOKUP(B26,schools!E:E,1,FALSE)</f>
        <v>22003</v>
      </c>
    </row>
    <row r="27" spans="1:4" ht="19.5" thickBot="1" x14ac:dyDescent="0.3">
      <c r="A27" s="2">
        <v>26</v>
      </c>
      <c r="B27" s="3">
        <v>20121</v>
      </c>
      <c r="C27" s="4">
        <v>133024</v>
      </c>
      <c r="D27" t="e">
        <f>VLOOKUP(B27,schools!E:E,1,FALSE)</f>
        <v>#N/A</v>
      </c>
    </row>
    <row r="28" spans="1:4" ht="19.5" thickBot="1" x14ac:dyDescent="0.3">
      <c r="A28" s="2">
        <v>27</v>
      </c>
      <c r="B28" s="3">
        <v>20190</v>
      </c>
      <c r="C28" s="4">
        <v>126928</v>
      </c>
      <c r="D28" t="e">
        <f>VLOOKUP(B28,schools!E:E,1,FALSE)</f>
        <v>#N/A</v>
      </c>
    </row>
    <row r="29" spans="1:4" ht="19.5" thickBot="1" x14ac:dyDescent="0.3">
      <c r="A29" s="5">
        <v>28</v>
      </c>
      <c r="B29" s="6">
        <v>22150</v>
      </c>
      <c r="C29" s="7">
        <v>120406</v>
      </c>
      <c r="D29">
        <f>VLOOKUP(B29,schools!E:E,1,FALSE)</f>
        <v>22150</v>
      </c>
    </row>
    <row r="30" spans="1:4" ht="19.5" thickBot="1" x14ac:dyDescent="0.3">
      <c r="A30" s="2">
        <v>29</v>
      </c>
      <c r="B30" s="3">
        <v>22303</v>
      </c>
      <c r="C30" s="4">
        <v>103822</v>
      </c>
      <c r="D30">
        <f>VLOOKUP(B30,schools!E:E,1,FALSE)</f>
        <v>22303</v>
      </c>
    </row>
    <row r="31" spans="1:4" ht="19.5" thickBot="1" x14ac:dyDescent="0.3">
      <c r="A31" s="2">
        <v>30</v>
      </c>
      <c r="B31" s="3">
        <v>22060</v>
      </c>
      <c r="C31" s="4">
        <v>102162</v>
      </c>
      <c r="D31" t="e">
        <f>VLOOKUP(B31,schools!E:E,1,FALSE)</f>
        <v>#N/A</v>
      </c>
    </row>
    <row r="32" spans="1:4" ht="19.5" thickBot="1" x14ac:dyDescent="0.3">
      <c r="A32" s="2">
        <v>31</v>
      </c>
      <c r="B32" s="3">
        <v>22309</v>
      </c>
      <c r="C32" s="4">
        <v>101556</v>
      </c>
      <c r="D32" t="e">
        <f>VLOOKUP(B32,schools!E:E,1,FALSE)</f>
        <v>#N/A</v>
      </c>
    </row>
    <row r="33" spans="1:4" ht="19.5" thickBot="1" x14ac:dyDescent="0.3">
      <c r="A33" s="2">
        <v>32</v>
      </c>
      <c r="B33" s="3">
        <v>22306</v>
      </c>
      <c r="C33" s="4">
        <v>95026</v>
      </c>
      <c r="D33" t="e">
        <f>VLOOKUP(B33,schools!E:E,1,FALSE)</f>
        <v>#N/A</v>
      </c>
    </row>
    <row r="34" spans="1:4" ht="18.75" x14ac:dyDescent="0.25">
      <c r="A34" s="2">
        <v>33</v>
      </c>
      <c r="B34" s="3">
        <v>22041</v>
      </c>
      <c r="C34" s="4">
        <v>91075</v>
      </c>
      <c r="D34" t="e">
        <f>VLOOKUP(B34,schools!E:E,1,FALSE)</f>
        <v>#N/A</v>
      </c>
    </row>
  </sheetData>
  <hyperlinks>
    <hyperlink ref="B2" r:id="rId1" display="https://datacommons.org/place/zip/22039" xr:uid="{C31A0C04-53EF-48E9-8CBA-52F157FE6A7F}"/>
    <hyperlink ref="B3" r:id="rId2" display="https://datacommons.org/place/zip/22027" xr:uid="{D8B2841A-79D2-49C7-BDDC-0EB0B1449C6E}"/>
    <hyperlink ref="B4" r:id="rId3" display="https://datacommons.org/place/zip/20124" xr:uid="{CCCFEFBA-7698-4B82-8D31-7521F6F77A6A}"/>
    <hyperlink ref="B5" r:id="rId4" display="https://datacommons.org/place/zip/22124" xr:uid="{0D66ECAE-719D-4339-B540-A2A28F84D0C6}"/>
    <hyperlink ref="B6" r:id="rId5" display="https://datacommons.org/place/zip/22181" xr:uid="{F3121EB1-A58A-447C-ABAC-6BA7FB102056}"/>
    <hyperlink ref="B7" r:id="rId6" display="https://datacommons.org/place/zip/22308" xr:uid="{1B191EBD-23E0-4737-98F7-3DD8F6F164FC}"/>
    <hyperlink ref="B8" r:id="rId7" display="https://datacommons.org/place/zip/22182" xr:uid="{68C53585-826C-4485-B6DF-DC4D70EF34E8}"/>
    <hyperlink ref="B9" r:id="rId8" display="https://datacommons.org/place/zip/22180" xr:uid="{0B7917AA-229F-4A86-B5ED-5B6B4DDD8E6B}"/>
    <hyperlink ref="B10" r:id="rId9" display="https://datacommons.org/place/zip/22153" xr:uid="{EF482B35-94EC-4389-A3F2-866EDD8EBE89}"/>
    <hyperlink ref="B11" r:id="rId10" display="https://datacommons.org/place/zip/20194" xr:uid="{FA834D83-9CF4-42D6-9BE8-C8B6970C075C}"/>
    <hyperlink ref="B12" r:id="rId11" display="https://datacommons.org/place/zip/20171" xr:uid="{F875475A-F022-4B17-8FA1-54BF89CB82BB}"/>
    <hyperlink ref="B13" r:id="rId12" display="https://datacommons.org/place/zip/22015" xr:uid="{8FBDF52F-2383-4BEA-876E-249704E6108C}"/>
    <hyperlink ref="B14" r:id="rId13" display="https://datacommons.org/place/zip/22310" xr:uid="{1A93A57D-40A7-41F3-8074-0D8EF96B2EA9}"/>
    <hyperlink ref="B15" r:id="rId14" display="https://datacommons.org/place/zip/22151" xr:uid="{468DDBE9-C3B1-4A73-9D0C-2786A9407B09}"/>
    <hyperlink ref="B16" r:id="rId15" display="https://datacommons.org/place/zip/22152" xr:uid="{3125DF8B-D000-49D7-8A38-CA5D4DE63E69}"/>
    <hyperlink ref="B17" r:id="rId16" display="https://datacommons.org/place/zip/20170" xr:uid="{B541DC47-CF8C-4E01-9BEC-73ED6C327BC7}"/>
    <hyperlink ref="B18" r:id="rId17" display="https://datacommons.org/place/zip/22315" xr:uid="{E78C11A8-5D48-4084-AB84-7771B39B5DA2}"/>
    <hyperlink ref="B19" r:id="rId18" display="https://datacommons.org/place/zip/22102" xr:uid="{EC165466-3B64-45F8-8E08-7FB9C00ACF55}"/>
    <hyperlink ref="B20" r:id="rId19" display="https://datacommons.org/place/zip/22043" xr:uid="{842381D9-30B1-4161-AC2A-F78560941C37}"/>
    <hyperlink ref="B21" r:id="rId20" display="https://datacommons.org/place/zip/20151" xr:uid="{2D7C7B1E-A8BA-4C3E-9159-8E99A69BD374}"/>
    <hyperlink ref="B22" r:id="rId21" display="https://datacommons.org/place/zip/20191" xr:uid="{4A3118FC-29CA-4E6D-98EF-F84299162DAF}"/>
    <hyperlink ref="B23" r:id="rId22" display="https://datacommons.org/place/zip/22079" xr:uid="{06318B1A-FF79-487C-9EE7-E2D15B83D5F7}"/>
    <hyperlink ref="B24" r:id="rId23" display="https://datacommons.org/place/zip/22307" xr:uid="{E9EB5C34-4D8E-4721-ACBC-0D7F8479BB03}"/>
    <hyperlink ref="B25" r:id="rId24" display="https://datacommons.org/place/zip/22033" xr:uid="{FAF4C012-6A8B-4EFB-8B95-0EC8548D2FDF}"/>
    <hyperlink ref="B26" r:id="rId25" display="https://datacommons.org/place/zip/22003" xr:uid="{FA024C3F-2D7C-438F-8988-A95EAEE252D0}"/>
    <hyperlink ref="B27" r:id="rId26" display="https://datacommons.org/place/zip/20121" xr:uid="{C828EC35-35CA-4352-88EE-267BC962033F}"/>
    <hyperlink ref="B28" r:id="rId27" display="https://datacommons.org/place/zip/20190" xr:uid="{245B517E-4CFF-4D4D-8DEC-4655F724A766}"/>
    <hyperlink ref="B29" r:id="rId28" display="https://datacommons.org/place/zip/22150" xr:uid="{75921A80-9882-4EFF-81A7-EDB540C47BD9}"/>
    <hyperlink ref="B30" r:id="rId29" display="https://datacommons.org/place/zip/22303" xr:uid="{6B006647-43E2-4AC6-87DD-ECEAD2E5A7C6}"/>
    <hyperlink ref="B31" r:id="rId30" display="https://datacommons.org/place/zip/22060" xr:uid="{07CE1930-A78B-4744-BD2C-F5C0C904173B}"/>
    <hyperlink ref="B32" r:id="rId31" display="https://datacommons.org/place/zip/22309" xr:uid="{8C6007A3-19E1-4A98-A298-C71F8212D13E}"/>
    <hyperlink ref="B33" r:id="rId32" display="https://datacommons.org/place/zip/22306" xr:uid="{A87EE8E1-2AC8-43C6-8882-57682B0B5DC2}"/>
    <hyperlink ref="B34" r:id="rId33" display="https://datacommons.org/place/zip/22041" xr:uid="{E4E24DB6-4098-4420-B2EE-9AB3E43F08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Sheet5</vt:lpstr>
      <vt:lpstr>schools</vt:lpstr>
      <vt:lpstr>zip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Kao</dc:creator>
  <cp:lastModifiedBy>Crystal Kao</cp:lastModifiedBy>
  <dcterms:created xsi:type="dcterms:W3CDTF">2025-11-12T21:15:45Z</dcterms:created>
  <dcterms:modified xsi:type="dcterms:W3CDTF">2025-11-12T23:15:01Z</dcterms:modified>
</cp:coreProperties>
</file>